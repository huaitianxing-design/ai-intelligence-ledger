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看板总览" sheetId="1" state="visible" r:id="rId1"/>
    <sheet name="00_使用说明" sheetId="2" state="visible" r:id="rId2"/>
    <sheet name="01_信息源" sheetId="3" state="visible" r:id="rId3"/>
    <sheet name="02_主题词典" sheetId="4" state="visible" r:id="rId4"/>
    <sheet name="03_公众号信息" sheetId="5" state="visible" r:id="rId5"/>
    <sheet name="04_勾稽矩阵" sheetId="6" state="visible" r:id="rId6"/>
    <sheet name="05_研报跟踪" sheetId="7" state="visible" r:id="rId7"/>
    <sheet name="06_公司公开信息" sheetId="8" state="visible" r:id="rId8"/>
    <sheet name="07_周度摘要" sheetId="9" state="visible" r:id="rId9"/>
    <sheet name="08_状态与口径" sheetId="10" state="visible" r:id="rId10"/>
  </sheets>
  <definedNames>
    <definedName name="_xlnm._FilterDatabase" localSheetId="1" hidden="1">'00_使用说明'!$A$1:$D$8</definedName>
    <definedName name="_xlnm._FilterDatabase" localSheetId="2" hidden="1">'01_信息源'!$A$1:$H$18</definedName>
    <definedName name="_xlnm._FilterDatabase" localSheetId="3" hidden="1">'02_主题词典'!$A$1:$I$6</definedName>
    <definedName name="_xlnm._FilterDatabase" localSheetId="4" hidden="1">'03_公众号信息'!$A$1:$U$7</definedName>
    <definedName name="_xlnm._FilterDatabase" localSheetId="5" hidden="1">'04_勾稽矩阵'!$A$1:$S$5</definedName>
    <definedName name="_xlnm._FilterDatabase" localSheetId="6" hidden="1">'05_研报跟踪'!$A$1:$O$2</definedName>
    <definedName name="_xlnm._FilterDatabase" localSheetId="7" hidden="1">'06_公司公开信息'!$A$1:$O$4</definedName>
    <definedName name="_xlnm._FilterDatabase" localSheetId="8" hidden="1">'07_周度摘要'!$A$1:$K$4</definedName>
    <definedName name="_xlnm._FilterDatabase" localSheetId="9" hidden="1">'08_状态与口径'!$A$1:$C$8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font>
    <font>
      <name val="Arial"/>
      <color rgb="00101828"/>
      <sz val="10"/>
    </font>
    <font>
      <name val="Arial"/>
      <b val="1"/>
      <color rgb="00FFFFFF"/>
      <sz val="24"/>
    </font>
    <font>
      <name val="Arial"/>
      <b val="1"/>
      <color rgb="00667085"/>
    </font>
    <font>
      <name val="Arial"/>
      <b val="1"/>
      <color rgb="0017233B"/>
      <sz val="22"/>
    </font>
    <font>
      <name val="Arial"/>
      <b val="1"/>
      <color rgb="0017233B"/>
    </font>
    <font>
      <name val="Arial"/>
      <b val="1"/>
      <color rgb="003357D9"/>
      <sz val="14"/>
    </font>
    <font>
      <name val="Arial"/>
      <color rgb="0017233B"/>
      <sz val="10"/>
    </font>
  </fonts>
  <fills count="8">
    <fill>
      <patternFill/>
    </fill>
    <fill>
      <patternFill patternType="gray125"/>
    </fill>
    <fill>
      <patternFill patternType="solid">
        <fgColor rgb="0017233B"/>
      </patternFill>
    </fill>
    <fill>
      <patternFill patternType="solid">
        <fgColor rgb="00DFF5F7"/>
      </patternFill>
    </fill>
    <fill>
      <patternFill patternType="solid">
        <fgColor rgb="00F4F7FB"/>
      </patternFill>
    </fill>
    <fill>
      <patternFill patternType="solid">
        <fgColor rgb="00FEE4E2"/>
      </patternFill>
    </fill>
    <fill>
      <patternFill patternType="solid">
        <fgColor rgb="00DCFCE7"/>
      </patternFill>
    </fill>
    <fill>
      <patternFill patternType="solid">
        <fgColor rgb="00FEF0C7"/>
      </patternFill>
    </fill>
  </fills>
  <borders count="2">
    <border>
      <left/>
      <right/>
      <top/>
      <bottom/>
      <diagonal/>
    </border>
    <border>
      <bottom style="hair">
        <color rgb="00D0D5DD"/>
      </bottom>
    </border>
  </borders>
  <cellStyleXfs count="1">
    <xf numFmtId="0" fontId="0" fillId="0" borderId="0"/>
  </cellStyleXfs>
  <cellXfs count="20">
    <xf numFmtId="0" fontId="0" fillId="0" borderId="0" pivotButton="0" quotePrefix="0" xfId="0"/>
    <xf numFmtId="0" fontId="3" fillId="2" borderId="0" applyAlignment="1" pivotButton="0" quotePrefix="0" xfId="0">
      <alignment vertical="center"/>
    </xf>
    <xf numFmtId="0" fontId="4" fillId="3" borderId="0" applyAlignment="1" pivotButton="0" quotePrefix="0" xfId="0">
      <alignment horizontal="center" vertical="center"/>
    </xf>
    <xf numFmtId="0" fontId="0" fillId="3" borderId="0" applyAlignment="1" pivotButton="0" quotePrefix="0" xfId="0">
      <alignment horizontal="center" vertical="center"/>
    </xf>
    <xf numFmtId="0" fontId="4" fillId="4" borderId="0" applyAlignment="1" pivotButton="0" quotePrefix="0" xfId="0">
      <alignment horizontal="center" vertical="center"/>
    </xf>
    <xf numFmtId="0" fontId="0" fillId="4" borderId="0" applyAlignment="1" pivotButton="0" quotePrefix="0" xfId="0">
      <alignment horizontal="center" vertical="center"/>
    </xf>
    <xf numFmtId="0" fontId="4" fillId="5" borderId="0" applyAlignment="1" pivotButton="0" quotePrefix="0" xfId="0">
      <alignment horizontal="center" vertical="center"/>
    </xf>
    <xf numFmtId="0" fontId="0" fillId="5" borderId="0" applyAlignment="1" pivotButton="0" quotePrefix="0" xfId="0">
      <alignment horizontal="center" vertical="center"/>
    </xf>
    <xf numFmtId="0" fontId="4" fillId="6" borderId="0" applyAlignment="1" pivotButton="0" quotePrefix="0" xfId="0">
      <alignment horizontal="center" vertical="center"/>
    </xf>
    <xf numFmtId="0" fontId="0" fillId="6" borderId="0" applyAlignment="1" pivotButton="0" quotePrefix="0" xfId="0">
      <alignment horizontal="center" vertical="center"/>
    </xf>
    <xf numFmtId="0" fontId="5" fillId="3"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6" fillId="7" borderId="0" applyAlignment="1" pivotButton="0" quotePrefix="0" xfId="0">
      <alignment vertical="center"/>
    </xf>
    <xf numFmtId="0" fontId="7"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0" applyAlignment="1" pivotButton="0" quotePrefix="0" xfId="0">
      <alignment vertical="top" wrapText="1"/>
    </xf>
    <xf numFmtId="0" fontId="8" fillId="3" borderId="0" applyAlignment="1" pivotButton="0" quotePrefix="0" xfId="0">
      <alignment vertical="top" wrapText="1"/>
    </xf>
  </cellXfs>
  <cellStyles count="1">
    <cellStyle name="Normal" xfId="0" builtinId="0" hidden="0"/>
  </cellStyles>
  <dxfs count="2">
    <dxf>
      <fill>
        <patternFill patternType="solid">
          <fgColor rgb="00FEE4E2"/>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T00使用说明" displayName="T00使用说明" ref="A1:D8" headerRowCount="1">
  <autoFilter ref="A1:D8"/>
  <tableColumns count="4">
    <tableColumn id="1" name="模块"/>
    <tableColumn id="2" name="说明"/>
    <tableColumn id="3" name="更新频率"/>
    <tableColumn id="4" name="责任动作"/>
  </tableColumns>
  <tableStyleInfo name="TableStyleMedium2" showFirstColumn="0" showLastColumn="0" showRowStripes="1"/>
</table>
</file>

<file path=xl/tables/table2.xml><?xml version="1.0" encoding="utf-8"?>
<table xmlns="http://schemas.openxmlformats.org/spreadsheetml/2006/main" id="2" name="T01信息源" displayName="T01信息源" ref="A1:H18" headerRowCount="1">
  <autoFilter ref="A1:H18"/>
  <tableColumns count="8">
    <tableColumn id="1" name="来源ID"/>
    <tableColumn id="2" name="层级"/>
    <tableColumn id="3" name="类别"/>
    <tableColumn id="4" name="来源名称"/>
    <tableColumn id="5" name="获取方式"/>
    <tableColumn id="6" name="优先主题"/>
    <tableColumn id="7" name="是否启用"/>
    <tableColumn id="8" name="备注"/>
  </tableColumns>
  <tableStyleInfo name="TableStyleMedium2" showFirstColumn="0" showLastColumn="0" showRowStripes="1"/>
</table>
</file>

<file path=xl/tables/table3.xml><?xml version="1.0" encoding="utf-8"?>
<table xmlns="http://schemas.openxmlformats.org/spreadsheetml/2006/main" id="3" name="T02主题词典" displayName="T02主题词典" ref="A1:I6" headerRowCount="1">
  <autoFilter ref="A1:I6"/>
  <tableColumns count="9">
    <tableColumn id="1" name="主题编号"/>
    <tableColumn id="2" name="一级维度"/>
    <tableColumn id="3" name="二级主题"/>
    <tableColumn id="4" name="实体/公司"/>
    <tableColumn id="5" name="核心关键词"/>
    <tableColumn id="6" name="同义词/产品词"/>
    <tableColumn id="7" name="相关性规则"/>
    <tableColumn id="8" name="A/B/C类"/>
    <tableColumn id="9" name="是否启用"/>
  </tableColumns>
  <tableStyleInfo name="TableStyleMedium2" showFirstColumn="0" showLastColumn="0" showRowStripes="1"/>
</table>
</file>

<file path=xl/tables/table4.xml><?xml version="1.0" encoding="utf-8"?>
<table xmlns="http://schemas.openxmlformats.org/spreadsheetml/2006/main" id="4" name="T03情报流水" displayName="T03情报流水" ref="A1:U2" headerRowCount="1">
  <autoFilter ref="A1:U2"/>
  <tableColumns count="21">
    <tableColumn id="1" name="情报ID"/>
    <tableColumn id="2" name="发布日期"/>
    <tableColumn id="3" name="抓取日期"/>
    <tableColumn id="4" name="来源ID"/>
    <tableColumn id="5" name="来源名称"/>
    <tableColumn id="6" name="标题"/>
    <tableColumn id="7" name="原文链接"/>
    <tableColumn id="8" name="分类"/>
    <tableColumn id="9" name="主题编号"/>
    <tableColumn id="10" name="公司"/>
    <tableColumn id="11" name="相关性评分(1-5)"/>
    <tableColumn id="12" name="数字锚点1"/>
    <tableColumn id="13" name="数字锚点2"/>
    <tableColumn id="14" name="数字锚点3"/>
    <tableColumn id="15" name="数字锚点4"/>
    <tableColumn id="16" name="数字锚点5"/>
    <tableColumn id="17" name="全文总结"/>
    <tableColumn id="18" name="下钻建议"/>
    <tableColumn id="19" name="处理状态"/>
    <tableColumn id="20" name="负责人"/>
    <tableColumn id="21" name="备注"/>
  </tableColumns>
  <tableStyleInfo name="TableStyleMedium2" showFirstColumn="0" showLastColumn="0" showRowStripes="1"/>
</table>
</file>

<file path=xl/tables/table5.xml><?xml version="1.0" encoding="utf-8"?>
<table xmlns="http://schemas.openxmlformats.org/spreadsheetml/2006/main" id="5" name="T04勾稽矩阵" displayName="T04勾稽矩阵" ref="A1:S2" headerRowCount="1">
  <autoFilter ref="A1:S2"/>
  <tableColumns count="19">
    <tableColumn id="1" name="主张ID"/>
    <tableColumn id="2" name="主题编号"/>
    <tableColumn id="3" name="公司"/>
    <tableColumn id="4" name="主张文本"/>
    <tableColumn id="5" name="来源情报ID"/>
    <tableColumn id="6" name="分类"/>
    <tableColumn id="7" name="卖方机构"/>
    <tableColumn id="8" name="卖方观点/原文"/>
    <tableColumn id="9" name="研报日期"/>
    <tableColumn id="10" name="研报链接/定位"/>
    <tableColumn id="11" name="官方资料类型"/>
    <tableColumn id="12" name="官方口径/原文"/>
    <tableColumn id="13" name="官方日期"/>
    <tableColumn id="14" name="官方链接/定位"/>
    <tableColumn id="15" name="勾稽状态"/>
    <tableColumn id="16" name="冲突说明"/>
    <tableColumn id="17" name="结论准入"/>
    <tableColumn id="18" name="本周变化"/>
    <tableColumn id="19" name="负责人"/>
  </tableColumns>
  <tableStyleInfo name="TableStyleMedium2" showFirstColumn="0" showLastColumn="0" showRowStripes="1"/>
</table>
</file>

<file path=xl/tables/table6.xml><?xml version="1.0" encoding="utf-8"?>
<table xmlns="http://schemas.openxmlformats.org/spreadsheetml/2006/main" id="6" name="T08状态与口径" displayName="T08状态与口径" ref="A1:C8" headerRowCount="1">
  <autoFilter ref="A1:C8"/>
  <tableColumns count="3">
    <tableColumn id="1" name="类型"/>
    <tableColumn id="2" name="值"/>
    <tableColumn id="3" name="说明"/>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H16"/>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AI 情报勾稽系统</t>
        </is>
      </c>
    </row>
    <row r="2"/>
    <row r="3"/>
    <row r="4">
      <c r="A4" s="2" t="inlineStr">
        <is>
          <t>情报总量</t>
        </is>
      </c>
      <c r="C4" s="4" t="inlineStr">
        <is>
          <t>主张总量</t>
        </is>
      </c>
      <c r="E4" s="6" t="inlineStr">
        <is>
          <t>冲突/孤证</t>
        </is>
      </c>
      <c r="G4" s="8" t="inlineStr">
        <is>
          <t>可入结论</t>
        </is>
      </c>
    </row>
    <row r="5">
      <c r="A5" s="10">
        <f>MAX(0,COUNTA('03_情报流水'!A:A)-1)</f>
        <v/>
      </c>
      <c r="C5" s="11">
        <f>MAX(0,COUNTA('04_勾稽矩阵'!A:A)-1)</f>
        <v/>
      </c>
      <c r="E5" s="12">
        <f>COUNTIF('04_勾稽矩阵'!O:O,"冲突")+COUNTIF('04_勾稽矩阵'!O:O,"孤证")</f>
        <v/>
      </c>
      <c r="G5" s="13">
        <f>COUNTIF('04_勾稽矩阵'!Q:Q,"可入结论")</f>
        <v/>
      </c>
    </row>
    <row r="6"/>
    <row r="7"/>
    <row r="8">
      <c r="A8" s="14" t="inlineStr">
        <is>
          <t>硬规则：冲突保留双方原文，不折中；孤证标红，禁入结论。</t>
        </is>
      </c>
    </row>
    <row r="9"/>
    <row r="10">
      <c r="A10" s="15" t="inlineStr">
        <is>
          <t>使用顺序</t>
        </is>
      </c>
    </row>
    <row r="11">
      <c r="A11" t="inlineStr">
        <is>
          <t>① 信息源与词典</t>
        </is>
      </c>
    </row>
    <row r="12">
      <c r="A12" t="inlineStr">
        <is>
          <t>② 情报流水</t>
        </is>
      </c>
    </row>
    <row r="13">
      <c r="A13" t="inlineStr">
        <is>
          <t>③ 研报核验</t>
        </is>
      </c>
    </row>
    <row r="14">
      <c r="A14" t="inlineStr">
        <is>
          <t>④ 官方事实底座</t>
        </is>
      </c>
    </row>
    <row r="15">
      <c r="A15" t="inlineStr">
        <is>
          <t>⑤ 勾稽矩阵</t>
        </is>
      </c>
    </row>
    <row r="16">
      <c r="A16" t="inlineStr">
        <is>
          <t>⑥ 周度摘要</t>
        </is>
      </c>
    </row>
  </sheetData>
  <mergeCells count="10">
    <mergeCell ref="A4:B4"/>
    <mergeCell ref="G4:H4"/>
    <mergeCell ref="E4:F4"/>
    <mergeCell ref="C5:D6"/>
    <mergeCell ref="A5:B6"/>
    <mergeCell ref="G5:H6"/>
    <mergeCell ref="E5:F6"/>
    <mergeCell ref="A1:H2"/>
    <mergeCell ref="A8:H8"/>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24" customWidth="1" min="1" max="1"/>
    <col width="64" customWidth="1" min="2" max="2"/>
    <col width="18" customWidth="1" min="3" max="3"/>
    <col width="48" customWidth="1" min="4" max="4"/>
  </cols>
  <sheetData>
    <row r="1" ht="30" customHeight="1">
      <c r="A1" s="16" t="inlineStr">
        <is>
          <t>模块</t>
        </is>
      </c>
      <c r="B1" s="16" t="inlineStr">
        <is>
          <t>说明</t>
        </is>
      </c>
      <c r="C1" s="16" t="inlineStr">
        <is>
          <t>更新频率</t>
        </is>
      </c>
      <c r="D1" s="16" t="inlineStr">
        <is>
          <t>责任动作</t>
        </is>
      </c>
    </row>
    <row r="2">
      <c r="A2" s="17" t="inlineStr">
        <is>
          <t>运行原则</t>
        </is>
      </c>
      <c r="B2" s="17" t="inlineStr">
        <is>
          <t>公众号/垂直媒体粗筛 → 券商研报深度验证 → 企业一手资料事实锚定</t>
        </is>
      </c>
      <c r="C2" s="17" t="inlineStr">
        <is>
          <t>持续</t>
        </is>
      </c>
      <c r="D2" s="17" t="inlineStr">
        <is>
          <t>所有材料先进入情报流水，再拆成主张</t>
        </is>
      </c>
    </row>
    <row r="3">
      <c r="A3" s="17" t="inlineStr">
        <is>
          <t>勾稽单元</t>
        </is>
      </c>
      <c r="B3" s="17" t="inlineStr">
        <is>
          <t>主张 → 卖方背书 → 官方口径；以主题编号和主张编号关联</t>
        </is>
      </c>
      <c r="C3" s="17" t="inlineStr">
        <is>
          <t>持续</t>
        </is>
      </c>
      <c r="D3" s="17" t="inlineStr">
        <is>
          <t>冲突保留双方原文，不折中合并</t>
        </is>
      </c>
    </row>
    <row r="4">
      <c r="A4" s="17" t="inlineStr">
        <is>
          <t>硬规则</t>
        </is>
      </c>
      <c r="B4" s="17" t="inlineStr">
        <is>
          <t>孤证显式标红且禁入结论；第三层官方资料拥有最终否定权</t>
        </is>
      </c>
      <c r="C4" s="17" t="inlineStr">
        <is>
          <t>持续</t>
        </is>
      </c>
      <c r="D4" s="17" t="inlineStr">
        <is>
          <t>结论准入状态必须为“可入结论”</t>
        </is>
      </c>
    </row>
    <row r="5">
      <c r="A5" s="17" t="inlineStr">
        <is>
          <t>A类</t>
        </is>
      </c>
      <c r="B5" s="17" t="inlineStr">
        <is>
          <t>AI赋能广告/电商、AIO→AIM、Muse agent市场反馈</t>
        </is>
      </c>
      <c r="C5" s="17" t="inlineStr">
        <is>
          <t>发现即下钻</t>
        </is>
      </c>
      <c r="D5" s="17" t="inlineStr">
        <is>
          <t>②③层同时找证据，insights写厚</t>
        </is>
      </c>
    </row>
    <row r="6">
      <c r="A6" s="17" t="inlineStr">
        <is>
          <t>B类</t>
        </is>
      </c>
      <c r="B6" s="17" t="inlineStr">
        <is>
          <t>Capex叙事、算力经济性、行业格局</t>
        </is>
      </c>
      <c r="C6" s="17" t="inlineStr">
        <is>
          <t>每周三次</t>
        </is>
      </c>
      <c r="D6" s="17" t="inlineStr">
        <is>
          <t>先留要点，满足升级条件后下钻</t>
        </is>
      </c>
    </row>
    <row r="7">
      <c r="A7" s="17" t="inlineStr">
        <is>
          <t>C类</t>
        </is>
      </c>
      <c r="B7" s="17" t="inlineStr">
        <is>
          <t>泛泛进展</t>
        </is>
      </c>
      <c r="C7" s="17" t="inlineStr">
        <is>
          <t>发现即记录</t>
        </is>
      </c>
      <c r="D7" s="17" t="inlineStr">
        <is>
          <t>要点即止</t>
        </is>
      </c>
    </row>
    <row r="8">
      <c r="A8" s="17" t="inlineStr">
        <is>
          <t>周报</t>
        </is>
      </c>
      <c r="B8" s="17" t="inlineStr">
        <is>
          <t>只汇总可入结论、冲突、孤证和本周新增事实</t>
        </is>
      </c>
      <c r="C8" s="17" t="inlineStr">
        <is>
          <t>每周一次</t>
        </is>
      </c>
      <c r="D8" s="17" t="inlineStr">
        <is>
          <t>从勾稽矩阵与事实底座生成</t>
        </is>
      </c>
    </row>
  </sheetData>
  <autoFilter ref="A1:D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6" customWidth="1" min="4" max="4"/>
    <col width="18" customWidth="1" min="5" max="5"/>
    <col width="38" customWidth="1" min="6" max="6"/>
    <col width="14" customWidth="1" min="7" max="7"/>
    <col width="44" customWidth="1" min="8" max="8"/>
  </cols>
  <sheetData>
    <row r="1" ht="30" customHeight="1">
      <c r="A1" s="16" t="inlineStr">
        <is>
          <t>来源ID</t>
        </is>
      </c>
      <c r="B1" s="16" t="inlineStr">
        <is>
          <t>层级</t>
        </is>
      </c>
      <c r="C1" s="16" t="inlineStr">
        <is>
          <t>类别</t>
        </is>
      </c>
      <c r="D1" s="16" t="inlineStr">
        <is>
          <t>来源名称</t>
        </is>
      </c>
      <c r="E1" s="16" t="inlineStr">
        <is>
          <t>获取方式</t>
        </is>
      </c>
      <c r="F1" s="16" t="inlineStr">
        <is>
          <t>优先主题</t>
        </is>
      </c>
      <c r="G1" s="16" t="inlineStr">
        <is>
          <t>是否启用</t>
        </is>
      </c>
      <c r="H1" s="16" t="inlineStr">
        <is>
          <t>备注</t>
        </is>
      </c>
    </row>
    <row r="2">
      <c r="A2" s="17" t="inlineStr">
        <is>
          <t>SRC001</t>
        </is>
      </c>
      <c r="B2" s="17" t="inlineStr">
        <is>
          <t>①粗筛</t>
        </is>
      </c>
      <c r="C2" s="17" t="inlineStr">
        <is>
          <t>AI分析</t>
        </is>
      </c>
      <c r="D2" s="17" t="inlineStr">
        <is>
          <t>Deeptech深科技</t>
        </is>
      </c>
      <c r="E2" s="17" t="inlineStr">
        <is>
          <t>需爬</t>
        </is>
      </c>
      <c r="F2" s="17" t="inlineStr">
        <is>
          <t>AI产品、广告、电商</t>
        </is>
      </c>
      <c r="G2" s="17" t="inlineStr">
        <is>
          <t>是</t>
        </is>
      </c>
      <c r="H2" s="17" t="inlineStr">
        <is>
          <t>已建档·公网检索未命中可归属原文·待人工补料；最近检索2026-09-16</t>
        </is>
      </c>
    </row>
    <row r="3">
      <c r="A3" s="17" t="inlineStr">
        <is>
          <t>SRC002</t>
        </is>
      </c>
      <c r="B3" s="17" t="inlineStr">
        <is>
          <t>①粗筛</t>
        </is>
      </c>
      <c r="C3" s="17" t="inlineStr">
        <is>
          <t>AI分析</t>
        </is>
      </c>
      <c r="D3" s="17" t="inlineStr">
        <is>
          <t>量子位</t>
        </is>
      </c>
      <c r="E3" s="17" t="inlineStr">
        <is>
          <t>需爬</t>
        </is>
      </c>
      <c r="F3" s="17" t="inlineStr">
        <is>
          <t>AI产品、广告、电商</t>
        </is>
      </c>
      <c r="G3" s="17" t="inlineStr">
        <is>
          <t>是</t>
        </is>
      </c>
      <c r="H3" s="17" t="inlineStr">
        <is>
          <t>已接入·近期文章已入情报流水；最近检索2026-09-16</t>
        </is>
      </c>
    </row>
    <row r="4">
      <c r="A4" s="17" t="inlineStr">
        <is>
          <t>SRC003</t>
        </is>
      </c>
      <c r="B4" s="17" t="inlineStr">
        <is>
          <t>①粗筛</t>
        </is>
      </c>
      <c r="C4" s="17" t="inlineStr">
        <is>
          <t>AI分析</t>
        </is>
      </c>
      <c r="D4" s="17" t="inlineStr">
        <is>
          <t>海豚研究</t>
        </is>
      </c>
      <c r="E4" s="17" t="inlineStr">
        <is>
          <t>需爬</t>
        </is>
      </c>
      <c r="F4" s="17" t="inlineStr">
        <is>
          <t>AI产品、广告、电商</t>
        </is>
      </c>
      <c r="G4" s="17" t="inlineStr">
        <is>
          <t>是</t>
        </is>
      </c>
      <c r="H4" s="17" t="inlineStr">
        <is>
          <t>已接入·近期文章已入情报流水（海豚投研lbkrs直链）；最近检索2026-09-16</t>
        </is>
      </c>
    </row>
    <row r="5">
      <c r="A5" s="17" t="inlineStr">
        <is>
          <t>SRC004</t>
        </is>
      </c>
      <c r="B5" s="17" t="inlineStr">
        <is>
          <t>①粗筛</t>
        </is>
      </c>
      <c r="C5" s="17" t="inlineStr">
        <is>
          <t>AI分析</t>
        </is>
      </c>
      <c r="D5" s="17" t="inlineStr">
        <is>
          <t>虎嗅</t>
        </is>
      </c>
      <c r="E5" s="17" t="inlineStr">
        <is>
          <t>已接入（m.huxiu.com直连）</t>
        </is>
      </c>
      <c r="F5" s="17" t="inlineStr">
        <is>
          <t>AI产品、广告、电商</t>
        </is>
      </c>
      <c r="G5" s="17" t="inlineStr">
        <is>
          <t>是</t>
        </is>
      </c>
      <c r="H5" s="17" t="inlineStr">
        <is>
          <t>2026-09-17起已接入，首批4条情报入库（2条B类+2条C类）</t>
        </is>
      </c>
    </row>
    <row r="6">
      <c r="A6" s="17" t="inlineStr">
        <is>
          <t>SRC005</t>
        </is>
      </c>
      <c r="B6" s="17" t="inlineStr">
        <is>
          <t>①粗筛</t>
        </is>
      </c>
      <c r="C6" s="17" t="inlineStr">
        <is>
          <t>AI分析</t>
        </is>
      </c>
      <c r="D6" s="17" t="inlineStr">
        <is>
          <t>腾讯科技</t>
        </is>
      </c>
      <c r="E6" s="17" t="inlineStr">
        <is>
          <t>需爬</t>
        </is>
      </c>
      <c r="F6" s="17" t="inlineStr">
        <is>
          <t>AI产品、广告、电商</t>
        </is>
      </c>
      <c r="G6" s="17" t="inlineStr">
        <is>
          <t>是</t>
        </is>
      </c>
      <c r="H6" s="17" t="inlineStr">
        <is>
          <t>已建档·公网检索未命中可归属原文·待人工补料；最近检索2026-09-16</t>
        </is>
      </c>
    </row>
    <row r="7">
      <c r="A7" s="17" t="inlineStr">
        <is>
          <t>SRC006</t>
        </is>
      </c>
      <c r="B7" s="17" t="inlineStr">
        <is>
          <t>①粗筛</t>
        </is>
      </c>
      <c r="C7" s="17" t="inlineStr">
        <is>
          <t>财经分析</t>
        </is>
      </c>
      <c r="D7" s="17" t="inlineStr">
        <is>
          <t>华尔街博客</t>
        </is>
      </c>
      <c r="E7" s="17" t="inlineStr">
        <is>
          <t>需爬</t>
        </is>
      </c>
      <c r="F7" s="17" t="inlineStr">
        <is>
          <t>市场叙事、Capex、估值</t>
        </is>
      </c>
      <c r="G7" s="17" t="inlineStr">
        <is>
          <t>是</t>
        </is>
      </c>
      <c r="H7" s="17" t="inlineStr">
        <is>
          <t>已建档·公网检索未命中可归属原文·待人工补料；最近检索2026-09-16</t>
        </is>
      </c>
    </row>
    <row r="8">
      <c r="A8" s="17" t="inlineStr">
        <is>
          <t>SRC007</t>
        </is>
      </c>
      <c r="B8" s="17" t="inlineStr">
        <is>
          <t>①粗筛</t>
        </is>
      </c>
      <c r="C8" s="17" t="inlineStr">
        <is>
          <t>财经分析</t>
        </is>
      </c>
      <c r="D8" s="17" t="inlineStr">
        <is>
          <t>bedrock</t>
        </is>
      </c>
      <c r="E8" s="17" t="inlineStr">
        <is>
          <t>需爬</t>
        </is>
      </c>
      <c r="F8" s="17" t="inlineStr">
        <is>
          <t>市场叙事、Capex、估值</t>
        </is>
      </c>
      <c r="G8" s="17" t="inlineStr">
        <is>
          <t>是</t>
        </is>
      </c>
      <c r="H8" s="17" t="inlineStr">
        <is>
          <t>已建档·公网检索未命中可归属原文·待人工补料；最近检索2026-09-16</t>
        </is>
      </c>
    </row>
    <row r="9">
      <c r="A9" s="17" t="inlineStr">
        <is>
          <t>SRC008</t>
        </is>
      </c>
      <c r="B9" s="17" t="inlineStr">
        <is>
          <t>①粗筛</t>
        </is>
      </c>
      <c r="C9" s="17" t="inlineStr">
        <is>
          <t>财经分析</t>
        </is>
      </c>
      <c r="D9" s="17" t="inlineStr">
        <is>
          <t>404K</t>
        </is>
      </c>
      <c r="E9" s="17" t="inlineStr">
        <is>
          <t>需爬</t>
        </is>
      </c>
      <c r="F9" s="17" t="inlineStr">
        <is>
          <t>市场叙事、Capex、估值</t>
        </is>
      </c>
      <c r="G9" s="17" t="inlineStr">
        <is>
          <t>是</t>
        </is>
      </c>
      <c r="H9" s="17" t="inlineStr">
        <is>
          <t>已建档·公网检索未命中可归属原文·待人工补料；最近检索2026-09-16</t>
        </is>
      </c>
    </row>
    <row r="10">
      <c r="A10" s="17" t="inlineStr">
        <is>
          <t>SRC009</t>
        </is>
      </c>
      <c r="B10" s="17" t="inlineStr">
        <is>
          <t>①粗筛</t>
        </is>
      </c>
      <c r="C10" s="17" t="inlineStr">
        <is>
          <t>财经分析</t>
        </is>
      </c>
      <c r="D10" s="17" t="inlineStr">
        <is>
          <t>2030FY</t>
        </is>
      </c>
      <c r="E10" s="17" t="inlineStr">
        <is>
          <t>需爬</t>
        </is>
      </c>
      <c r="F10" s="17" t="inlineStr">
        <is>
          <t>市场叙事、Capex、估值</t>
        </is>
      </c>
      <c r="G10" s="17" t="inlineStr">
        <is>
          <t>是</t>
        </is>
      </c>
      <c r="H10" s="17" t="inlineStr">
        <is>
          <t>已建档·公网检索未命中可归属原文·待人工补料；最近检索2026-09-16</t>
        </is>
      </c>
    </row>
    <row r="11">
      <c r="A11" s="17" t="inlineStr">
        <is>
          <t>SRC010</t>
        </is>
      </c>
      <c r="B11" s="17" t="inlineStr">
        <is>
          <t>①粗筛</t>
        </is>
      </c>
      <c r="C11" s="17" t="inlineStr">
        <is>
          <t>财经分析</t>
        </is>
      </c>
      <c r="D11" s="17" t="inlineStr">
        <is>
          <t>我有充足的时间</t>
        </is>
      </c>
      <c r="E11" s="17" t="inlineStr">
        <is>
          <t>需爬</t>
        </is>
      </c>
      <c r="F11" s="17" t="inlineStr">
        <is>
          <t>市场叙事、Capex、估值</t>
        </is>
      </c>
      <c r="G11" s="17" t="inlineStr">
        <is>
          <t>是</t>
        </is>
      </c>
      <c r="H11" s="17" t="inlineStr">
        <is>
          <t>已建档·公网检索未命中可归属原文·待人工补料；最近检索2026-09-16</t>
        </is>
      </c>
    </row>
    <row r="12">
      <c r="A12" s="17" t="inlineStr">
        <is>
          <t>SRC011</t>
        </is>
      </c>
      <c r="B12" s="17" t="inlineStr">
        <is>
          <t>①粗筛</t>
        </is>
      </c>
      <c r="C12" s="17" t="inlineStr">
        <is>
          <t>财经分析</t>
        </is>
      </c>
      <c r="D12" s="17" t="inlineStr">
        <is>
          <t>地平线全球策略</t>
        </is>
      </c>
      <c r="E12" s="17" t="inlineStr">
        <is>
          <t>需爬</t>
        </is>
      </c>
      <c r="F12" s="17" t="inlineStr">
        <is>
          <t>市场叙事、Capex、估值</t>
        </is>
      </c>
      <c r="G12" s="17" t="inlineStr">
        <is>
          <t>是</t>
        </is>
      </c>
      <c r="H12" s="17" t="inlineStr">
        <is>
          <t>已建档·公网检索未命中可归属原文·待人工补料；最近检索2026-09-16</t>
        </is>
      </c>
    </row>
    <row r="13">
      <c r="A13" s="17" t="inlineStr">
        <is>
          <t>SRC012</t>
        </is>
      </c>
      <c r="B13" s="17" t="inlineStr">
        <is>
          <t>①粗筛</t>
        </is>
      </c>
      <c r="C13" s="17" t="inlineStr">
        <is>
          <t>财经分析</t>
        </is>
      </c>
      <c r="D13" s="17" t="inlineStr">
        <is>
          <t>星辰大海的边界</t>
        </is>
      </c>
      <c r="E13" s="17" t="inlineStr">
        <is>
          <t>需爬</t>
        </is>
      </c>
      <c r="F13" s="17" t="inlineStr">
        <is>
          <t>市场叙事、Capex、估值</t>
        </is>
      </c>
      <c r="G13" s="17" t="inlineStr">
        <is>
          <t>是</t>
        </is>
      </c>
      <c r="H13" s="17" t="inlineStr">
        <is>
          <t>已建档·公网检索未命中可归属原文·待人工补料；最近检索2026-09-16</t>
        </is>
      </c>
    </row>
    <row r="14">
      <c r="A14" s="17" t="inlineStr">
        <is>
          <t>SRC013</t>
        </is>
      </c>
      <c r="B14" s="17" t="inlineStr">
        <is>
          <t>②研报</t>
        </is>
      </c>
      <c r="C14" s="17" t="inlineStr">
        <is>
          <t>头部券商</t>
        </is>
      </c>
      <c r="D14" s="17" t="inlineStr">
        <is>
          <t>MS</t>
        </is>
      </c>
      <c r="E14" s="17" t="inlineStr">
        <is>
          <t>BBG/Wind手动搜索</t>
        </is>
      </c>
      <c r="F14" s="17" t="inlineStr">
        <is>
          <t>AI框架、量化口径</t>
        </is>
      </c>
      <c r="G14" s="17" t="inlineStr">
        <is>
          <t>是</t>
        </is>
      </c>
      <c r="H14" s="17" t="inlineStr">
        <is>
          <t>日常跟踪</t>
        </is>
      </c>
    </row>
    <row r="15">
      <c r="A15" s="17" t="inlineStr">
        <is>
          <t>SRC014</t>
        </is>
      </c>
      <c r="B15" s="17" t="inlineStr">
        <is>
          <t>②研报</t>
        </is>
      </c>
      <c r="C15" s="17" t="inlineStr">
        <is>
          <t>头部券商</t>
        </is>
      </c>
      <c r="D15" s="17" t="inlineStr">
        <is>
          <t>GS</t>
        </is>
      </c>
      <c r="E15" s="17" t="inlineStr">
        <is>
          <t>BBG/Wind手动搜索</t>
        </is>
      </c>
      <c r="F15" s="17" t="inlineStr">
        <is>
          <t>AI框架、量化口径</t>
        </is>
      </c>
      <c r="G15" s="17" t="inlineStr">
        <is>
          <t>是</t>
        </is>
      </c>
      <c r="H15" s="17" t="inlineStr">
        <is>
          <t>日常跟踪</t>
        </is>
      </c>
    </row>
    <row r="16">
      <c r="A16" s="17" t="inlineStr">
        <is>
          <t>SRC015</t>
        </is>
      </c>
      <c r="B16" s="17" t="inlineStr">
        <is>
          <t>③官方</t>
        </is>
      </c>
      <c r="C16" s="17" t="inlineStr">
        <is>
          <t>公司一手</t>
        </is>
      </c>
      <c r="D16" s="17" t="inlineStr">
        <is>
          <t>Google IR</t>
        </is>
      </c>
      <c r="E16" s="17" t="inlineStr">
        <is>
          <t>官网/财报/电话会</t>
        </is>
      </c>
      <c r="F16" s="17" t="inlineStr">
        <is>
          <t>经营数据、官方口径</t>
        </is>
      </c>
      <c r="G16" s="17" t="inlineStr">
        <is>
          <t>是</t>
        </is>
      </c>
      <c r="H16" s="17" t="inlineStr">
        <is>
          <t>最终事实锚定</t>
        </is>
      </c>
    </row>
    <row r="17">
      <c r="A17" s="17" t="inlineStr">
        <is>
          <t>SRC016</t>
        </is>
      </c>
      <c r="B17" s="17" t="inlineStr">
        <is>
          <t>③官方</t>
        </is>
      </c>
      <c r="C17" s="17" t="inlineStr">
        <is>
          <t>公司一手</t>
        </is>
      </c>
      <c r="D17" s="17" t="inlineStr">
        <is>
          <t>Amazon IR</t>
        </is>
      </c>
      <c r="E17" s="17" t="inlineStr">
        <is>
          <t>官网/财报/电话会</t>
        </is>
      </c>
      <c r="F17" s="17" t="inlineStr">
        <is>
          <t>经营数据、官方口径</t>
        </is>
      </c>
      <c r="G17" s="17" t="inlineStr">
        <is>
          <t>是</t>
        </is>
      </c>
      <c r="H17" s="17" t="inlineStr">
        <is>
          <t>最终事实锚定</t>
        </is>
      </c>
    </row>
    <row r="18">
      <c r="A18" s="17" t="inlineStr">
        <is>
          <t>SRC017</t>
        </is>
      </c>
      <c r="B18" s="17" t="inlineStr">
        <is>
          <t>③官方</t>
        </is>
      </c>
      <c r="C18" s="17" t="inlineStr">
        <is>
          <t>公司一手</t>
        </is>
      </c>
      <c r="D18" s="17" t="inlineStr">
        <is>
          <t>Meta IR</t>
        </is>
      </c>
      <c r="E18" s="17" t="inlineStr">
        <is>
          <t>官网/财报/电话会</t>
        </is>
      </c>
      <c r="F18" s="17" t="inlineStr">
        <is>
          <t>经营数据、官方口径</t>
        </is>
      </c>
      <c r="G18" s="17" t="inlineStr">
        <is>
          <t>是</t>
        </is>
      </c>
      <c r="H18" s="17" t="inlineStr">
        <is>
          <t>最终事实锚定</t>
        </is>
      </c>
    </row>
    <row r="19">
      <c r="A19" t="inlineStr">
        <is>
          <t>SRC018</t>
        </is>
      </c>
      <c r="B19" t="inlineStr">
        <is>
          <t>①粗筛</t>
        </is>
      </c>
      <c r="C19" t="inlineStr">
        <is>
          <t>财经分析</t>
        </is>
      </c>
      <c r="D19" t="inlineStr">
        <is>
          <t>砺石商业评论</t>
        </is>
      </c>
      <c r="E19" t="inlineStr">
        <is>
          <t>需爬</t>
        </is>
      </c>
      <c r="F19" t="inlineStr">
        <is>
          <t>AI战略、财报解读</t>
        </is>
      </c>
      <c r="G19" t="inlineStr">
        <is>
          <t>是</t>
        </is>
      </c>
      <c r="H19" t="inlineStr">
        <is>
          <t>搜索快照入库</t>
        </is>
      </c>
    </row>
    <row r="20">
      <c r="A20" t="inlineStr">
        <is>
          <t>SRC019</t>
        </is>
      </c>
      <c r="B20" t="inlineStr">
        <is>
          <t>①粗筛</t>
        </is>
      </c>
      <c r="C20" t="inlineStr">
        <is>
          <t>AI分析</t>
        </is>
      </c>
      <c r="D20" t="inlineStr">
        <is>
          <t>智东西</t>
        </is>
      </c>
      <c r="E20" t="inlineStr">
        <is>
          <t>需爬</t>
        </is>
      </c>
      <c r="F20" t="inlineStr">
        <is>
          <t>AI产品、视频生成</t>
        </is>
      </c>
      <c r="G20" t="inlineStr">
        <is>
          <t>是</t>
        </is>
      </c>
      <c r="H20" t="inlineStr">
        <is>
          <t>搜索快照入库</t>
        </is>
      </c>
    </row>
    <row r="21">
      <c r="A21" t="inlineStr">
        <is>
          <t>SRC020</t>
        </is>
      </c>
      <c r="B21" t="inlineStr">
        <is>
          <t>①粗筛</t>
        </is>
      </c>
      <c r="C21" t="inlineStr">
        <is>
          <t>财经分析</t>
        </is>
      </c>
      <c r="D21" t="inlineStr">
        <is>
          <t>每日经济新闻</t>
        </is>
      </c>
      <c r="E21" t="inlineStr">
        <is>
          <t>需爬</t>
        </is>
      </c>
      <c r="F21" t="inlineStr">
        <is>
          <t>财报、Capex</t>
        </is>
      </c>
      <c r="G21" t="inlineStr">
        <is>
          <t>是</t>
        </is>
      </c>
      <c r="H21" t="inlineStr">
        <is>
          <t>搜索快照入库</t>
        </is>
      </c>
    </row>
    <row r="22">
      <c r="A22" t="inlineStr">
        <is>
          <t>SRC021</t>
        </is>
      </c>
      <c r="B22" t="inlineStr">
        <is>
          <t>①粗筛</t>
        </is>
      </c>
      <c r="C22" t="inlineStr">
        <is>
          <t>财经分析</t>
        </is>
      </c>
      <c r="D22" t="inlineStr">
        <is>
          <t>中国企业家</t>
        </is>
      </c>
      <c r="E22" t="inlineStr">
        <is>
          <t>需爬</t>
        </is>
      </c>
      <c r="F22" t="inlineStr">
        <is>
          <t>AI战略、财报电话会</t>
        </is>
      </c>
      <c r="G22" t="inlineStr">
        <is>
          <t>是</t>
        </is>
      </c>
      <c r="H22" t="inlineStr">
        <is>
          <t>搜索快照入库</t>
        </is>
      </c>
    </row>
    <row r="23">
      <c r="A23" t="inlineStr">
        <is>
          <t>SRC022</t>
        </is>
      </c>
      <c r="B23" t="inlineStr">
        <is>
          <t>③锚定</t>
        </is>
      </c>
      <c r="C23" t="inlineStr">
        <is>
          <t>公司一手</t>
        </is>
      </c>
      <c r="D23" t="inlineStr">
        <is>
          <t>HKEX披露易</t>
        </is>
      </c>
      <c r="E23" t="inlineStr">
        <is>
          <t>公告PDF直链</t>
        </is>
      </c>
      <c r="F23" t="inlineStr">
        <is>
          <t>港股业绩公告</t>
        </is>
      </c>
      <c r="G23" t="inlineStr">
        <is>
          <t>是</t>
        </is>
      </c>
      <c r="H23" t="inlineStr">
        <is>
          <t>腾讯/阿里/快手/美团</t>
        </is>
      </c>
    </row>
    <row r="24">
      <c r="A24" t="inlineStr">
        <is>
          <t>SRC023</t>
        </is>
      </c>
      <c r="B24" t="inlineStr">
        <is>
          <t>③锚定</t>
        </is>
      </c>
      <c r="C24" t="inlineStr">
        <is>
          <t>公司一手</t>
        </is>
      </c>
      <c r="D24" t="inlineStr">
        <is>
          <t>Microsoft IR</t>
        </is>
      </c>
      <c r="E24" t="inlineStr">
        <is>
          <t>官网直链</t>
        </is>
      </c>
      <c r="F24" t="inlineStr">
        <is>
          <t>财报、Azure口径</t>
        </is>
      </c>
      <c r="G24" t="inlineStr">
        <is>
          <t>是</t>
        </is>
      </c>
      <c r="H24" t="inlineStr">
        <is>
          <t>FY26Q4已锚定</t>
        </is>
      </c>
    </row>
    <row r="25">
      <c r="A25" t="inlineStr">
        <is>
          <t>SRC024</t>
        </is>
      </c>
      <c r="B25" t="inlineStr">
        <is>
          <t>③锚定</t>
        </is>
      </c>
      <c r="C25" t="inlineStr">
        <is>
          <t>公司一手</t>
        </is>
      </c>
      <c r="D25" t="inlineStr">
        <is>
          <t>Alphabet IR</t>
        </is>
      </c>
      <c r="E25" t="inlineStr">
        <is>
          <t>官网直链</t>
        </is>
      </c>
      <c r="F25" t="inlineStr">
        <is>
          <t>财报、Cloud</t>
        </is>
      </c>
      <c r="G25" t="inlineStr">
        <is>
          <t>是</t>
        </is>
      </c>
      <c r="H25" t="inlineStr">
        <is>
          <t>Q2已锚定</t>
        </is>
      </c>
    </row>
  </sheetData>
  <autoFilter ref="A1:H1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28" customWidth="1" min="3" max="3"/>
    <col width="20" customWidth="1" min="4" max="4"/>
    <col width="44" customWidth="1" min="5" max="5"/>
    <col width="44" customWidth="1" min="6" max="6"/>
    <col width="58" customWidth="1" min="7" max="7"/>
    <col width="12" customWidth="1" min="8" max="8"/>
    <col width="14" customWidth="1" min="9" max="9"/>
  </cols>
  <sheetData>
    <row r="1" ht="30" customHeight="1">
      <c r="A1" s="16" t="inlineStr">
        <is>
          <t>主题编号</t>
        </is>
      </c>
      <c r="B1" s="16" t="inlineStr">
        <is>
          <t>一级维度</t>
        </is>
      </c>
      <c r="C1" s="16" t="inlineStr">
        <is>
          <t>二级主题</t>
        </is>
      </c>
      <c r="D1" s="16" t="inlineStr">
        <is>
          <t>实体/公司</t>
        </is>
      </c>
      <c r="E1" s="16" t="inlineStr">
        <is>
          <t>核心关键词</t>
        </is>
      </c>
      <c r="F1" s="16" t="inlineStr">
        <is>
          <t>同义词/产品词</t>
        </is>
      </c>
      <c r="G1" s="16" t="inlineStr">
        <is>
          <t>相关性规则</t>
        </is>
      </c>
      <c r="H1" s="16" t="inlineStr">
        <is>
          <t>A/B/C类</t>
        </is>
      </c>
      <c r="I1" s="16" t="inlineStr">
        <is>
          <t>是否启用</t>
        </is>
      </c>
    </row>
    <row r="2">
      <c r="A2" s="17" t="inlineStr">
        <is>
          <t>T-AIO-001</t>
        </is>
      </c>
      <c r="B2" s="17" t="inlineStr">
        <is>
          <t>产品形态</t>
        </is>
      </c>
      <c r="C2" s="17" t="inlineStr">
        <is>
          <t>搜索答案到广告变现</t>
        </is>
      </c>
      <c r="D2" s="17" t="inlineStr">
        <is>
          <t>Google</t>
        </is>
      </c>
      <c r="E2" s="17" t="inlineStr">
        <is>
          <t>AIO,AIM</t>
        </is>
      </c>
      <c r="F2" s="17" t="inlineStr">
        <is>
          <t>AI Overviews,AI Mode</t>
        </is>
      </c>
      <c r="G2" s="17" t="inlineStr">
        <is>
          <t>命中AIO/AIM且涉及广告、点击、商业查询或变现</t>
        </is>
      </c>
      <c r="H2" s="17" t="inlineStr">
        <is>
          <t>A</t>
        </is>
      </c>
      <c r="I2" s="17" t="inlineStr">
        <is>
          <t>是</t>
        </is>
      </c>
    </row>
    <row r="3">
      <c r="A3" s="17" t="inlineStr">
        <is>
          <t>T-MUSE-001</t>
        </is>
      </c>
      <c r="B3" s="17" t="inlineStr">
        <is>
          <t>产品形态</t>
        </is>
      </c>
      <c r="C3" s="17" t="inlineStr">
        <is>
          <t>通用Agent与能力分发</t>
        </is>
      </c>
      <c r="D3" s="17" t="inlineStr">
        <is>
          <t>Meta</t>
        </is>
      </c>
      <c r="E3" s="17" t="inlineStr">
        <is>
          <t>Muse,agent</t>
        </is>
      </c>
      <c r="F3" s="17" t="inlineStr">
        <is>
          <t>assistant,task completion</t>
        </is>
      </c>
      <c r="G3" s="17" t="inlineStr">
        <is>
          <t>命中Muse且涉及分发、用户行为、平台反馈或商业化</t>
        </is>
      </c>
      <c r="H3" s="17" t="inlineStr">
        <is>
          <t>A</t>
        </is>
      </c>
      <c r="I3" s="17" t="inlineStr">
        <is>
          <t>是</t>
        </is>
      </c>
    </row>
    <row r="4">
      <c r="A4" s="17" t="inlineStr">
        <is>
          <t>T-ADS-001</t>
        </is>
      </c>
      <c r="B4" s="17" t="inlineStr">
        <is>
          <t>广告变现</t>
        </is>
      </c>
      <c r="C4" s="17" t="inlineStr">
        <is>
          <t>AI赋能推荐与广告</t>
        </is>
      </c>
      <c r="D4" s="17" t="inlineStr">
        <is>
          <t>Meta/Google</t>
        </is>
      </c>
      <c r="E4" s="17" t="inlineStr">
        <is>
          <t>推荐,广告,转化</t>
        </is>
      </c>
      <c r="F4" s="17" t="inlineStr">
        <is>
          <t>ranking,recommendation,ads</t>
        </is>
      </c>
      <c r="G4" s="17" t="inlineStr">
        <is>
          <t>涉及AI对广告收入、转化率、推荐效率的量化影响</t>
        </is>
      </c>
      <c r="H4" s="17" t="inlineStr">
        <is>
          <t>A</t>
        </is>
      </c>
      <c r="I4" s="17" t="inlineStr">
        <is>
          <t>是</t>
        </is>
      </c>
    </row>
    <row r="5">
      <c r="A5" s="17" t="inlineStr">
        <is>
          <t>T-CAPEX-001</t>
        </is>
      </c>
      <c r="B5" s="17" t="inlineStr">
        <is>
          <t>算力与资本开支</t>
        </is>
      </c>
      <c r="C5" s="17" t="inlineStr">
        <is>
          <t>Capex与算力经济性</t>
        </is>
      </c>
      <c r="D5" s="17" t="inlineStr">
        <is>
          <t>云厂商/模型厂</t>
        </is>
      </c>
      <c r="E5" s="17" t="inlineStr">
        <is>
          <t>Capex,GPU,数据中心</t>
        </is>
      </c>
      <c r="F5" s="17" t="inlineStr">
        <is>
          <t>compute,datacenter,lease</t>
        </is>
      </c>
      <c r="G5" s="17" t="inlineStr">
        <is>
          <t>涉及资本开支、算力出租、自营API或回报测算</t>
        </is>
      </c>
      <c r="H5" s="17" t="inlineStr">
        <is>
          <t>B</t>
        </is>
      </c>
      <c r="I5" s="17" t="inlineStr">
        <is>
          <t>是</t>
        </is>
      </c>
    </row>
    <row r="6">
      <c r="A6" s="17" t="inlineStr">
        <is>
          <t>T-VAL-001</t>
        </is>
      </c>
      <c r="B6" s="17" t="inlineStr">
        <is>
          <t>叙事与估值</t>
        </is>
      </c>
      <c r="C6" s="17" t="inlineStr">
        <is>
          <t>市场定价与反馈</t>
        </is>
      </c>
      <c r="D6" s="17" t="inlineStr">
        <is>
          <t>全公司</t>
        </is>
      </c>
      <c r="E6" s="17" t="inlineStr">
        <is>
          <t>估值,市场反馈</t>
        </is>
      </c>
      <c r="F6" s="17" t="inlineStr">
        <is>
          <t>multiple,consensus,positioning</t>
        </is>
      </c>
      <c r="G6" s="17" t="inlineStr">
        <is>
          <t>涉及投资者认可、怀疑、关注指标或估值叙事</t>
        </is>
      </c>
      <c r="H6" s="17" t="inlineStr">
        <is>
          <t>B</t>
        </is>
      </c>
      <c r="I6" s="17" t="inlineStr">
        <is>
          <t>是</t>
        </is>
      </c>
    </row>
    <row r="7">
      <c r="A7" t="inlineStr">
        <is>
          <t>T-IND-001</t>
        </is>
      </c>
    </row>
  </sheetData>
  <autoFilter ref="A1:I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163"/>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22" customWidth="1" min="5" max="5"/>
    <col width="44" customWidth="1" min="6" max="6"/>
    <col width="48" customWidth="1" min="7" max="7"/>
    <col width="12" customWidth="1" min="8" max="8"/>
    <col width="16" customWidth="1" min="9" max="9"/>
    <col width="18" customWidth="1" min="10" max="10"/>
    <col width="18" customWidth="1" min="11" max="11"/>
    <col width="26" customWidth="1" min="12" max="12"/>
    <col width="26" customWidth="1" min="13" max="13"/>
    <col width="26" customWidth="1" min="14" max="14"/>
    <col width="26" customWidth="1" min="15" max="15"/>
    <col width="26" customWidth="1" min="16" max="16"/>
    <col width="60" customWidth="1" min="17" max="17"/>
    <col width="50" customWidth="1" min="18" max="18"/>
    <col width="18" customWidth="1" min="19" max="19"/>
    <col width="18" customWidth="1" min="20" max="20"/>
    <col width="36" customWidth="1" min="21" max="21"/>
  </cols>
  <sheetData>
    <row r="1" ht="30" customHeight="1">
      <c r="A1" s="16" t="inlineStr">
        <is>
          <t>情报ID</t>
        </is>
      </c>
      <c r="B1" s="16" t="inlineStr">
        <is>
          <t>发布日期</t>
        </is>
      </c>
      <c r="C1" s="16" t="inlineStr">
        <is>
          <t>抓取日期</t>
        </is>
      </c>
      <c r="D1" s="16" t="inlineStr">
        <is>
          <t>来源ID</t>
        </is>
      </c>
      <c r="E1" s="16" t="inlineStr">
        <is>
          <t>来源名称</t>
        </is>
      </c>
      <c r="F1" s="16" t="inlineStr">
        <is>
          <t>标题</t>
        </is>
      </c>
      <c r="G1" s="16" t="inlineStr">
        <is>
          <t>原文链接</t>
        </is>
      </c>
      <c r="H1" s="16" t="inlineStr">
        <is>
          <t>分类</t>
        </is>
      </c>
      <c r="I1" s="16" t="inlineStr">
        <is>
          <t>主题编号</t>
        </is>
      </c>
      <c r="J1" s="16" t="inlineStr">
        <is>
          <t>公司</t>
        </is>
      </c>
      <c r="K1" s="16" t="inlineStr">
        <is>
          <t>相关性评分(1-5)</t>
        </is>
      </c>
      <c r="L1" s="16" t="inlineStr">
        <is>
          <t>数字锚点1</t>
        </is>
      </c>
      <c r="M1" s="16" t="inlineStr">
        <is>
          <t>数字锚点2</t>
        </is>
      </c>
      <c r="N1" s="16" t="inlineStr">
        <is>
          <t>数字锚点3</t>
        </is>
      </c>
      <c r="O1" s="16" t="inlineStr">
        <is>
          <t>数字锚点4</t>
        </is>
      </c>
      <c r="P1" s="16" t="inlineStr">
        <is>
          <t>数字锚点5</t>
        </is>
      </c>
      <c r="Q1" s="16" t="inlineStr">
        <is>
          <t>全文总结</t>
        </is>
      </c>
      <c r="R1" s="16" t="inlineStr">
        <is>
          <t>下钻建议</t>
        </is>
      </c>
      <c r="S1" s="16" t="inlineStr">
        <is>
          <t>处理状态</t>
        </is>
      </c>
      <c r="T1" s="16" t="inlineStr">
        <is>
          <t>负责人</t>
        </is>
      </c>
      <c r="U1" s="16" t="inlineStr">
        <is>
          <t>备注</t>
        </is>
      </c>
    </row>
    <row r="2">
      <c r="A2" s="18" t="inlineStr">
        <is>
          <t>INT-20260916-001</t>
        </is>
      </c>
      <c r="B2" s="18" t="inlineStr">
        <is>
          <t>2026-07-08</t>
        </is>
      </c>
      <c r="C2" s="18" t="inlineStr">
        <is>
          <t>2026-09-16</t>
        </is>
      </c>
      <c r="D2" s="18" t="inlineStr">
        <is>
          <t>SRC006</t>
        </is>
      </c>
      <c r="E2" s="18" t="inlineStr">
        <is>
          <t>华尔街博客/华尔街见闻</t>
        </is>
      </c>
      <c r="F2" s="18" t="inlineStr">
        <is>
          <t>Meta AI大战再落一子：Muse Image接入Instagram、WhatsApp与广告创作</t>
        </is>
      </c>
      <c r="G2" s="18" t="inlineStr">
        <is>
          <t>https://wallstreetcn.com/articles/3776408</t>
        </is>
      </c>
      <c r="H2" s="18" t="inlineStr">
        <is>
          <t>A</t>
        </is>
      </c>
      <c r="I2" s="18" t="inlineStr">
        <is>
          <t>T-ADS-001</t>
        </is>
      </c>
      <c r="J2" s="18" t="inlineStr">
        <is>
          <t>Meta</t>
        </is>
      </c>
      <c r="K2" s="18" t="n">
        <v>5</v>
      </c>
      <c r="L2" s="18" t="inlineStr">
        <is>
          <t>7月7日发布</t>
        </is>
      </c>
      <c r="M2" s="18" t="inlineStr">
        <is>
          <t>接入Instagram/WhatsApp</t>
        </is>
      </c>
      <c r="N2" s="18" t="inlineStr">
        <is>
          <t>未来接入Advantage+</t>
        </is>
      </c>
      <c r="O2" s="18" t="inlineStr">
        <is>
          <t>Content Seal水印</t>
        </is>
      </c>
      <c r="P2" s="18" t="inlineStr">
        <is>
          <t>公开图像引用功能后续被官方撤回</t>
        </is>
      </c>
      <c r="Q2" s="18" t="inlineStr">
        <is>
          <t>Muse Image由消费级图像生成延伸到社交分发和广告素材生产，说明Meta正把模型能力嵌入广告工作流。</t>
        </is>
      </c>
      <c r="R2" s="18" t="inlineStr">
        <is>
          <t>下钻Meta官方发布、广告主采用率与转化增益；保留公开图像引用功能撤回记录。</t>
        </is>
      </c>
      <c r="S2" s="18" t="inlineStr">
        <is>
          <t>官方已锚定</t>
        </is>
      </c>
      <c r="T2" s="18" t="inlineStr">
        <is>
          <t>hi work</t>
        </is>
      </c>
      <c r="U2" s="18" t="inlineStr">
        <is>
          <t>全文可访问；属于二次报道。</t>
        </is>
      </c>
    </row>
    <row r="3">
      <c r="A3" s="18" t="inlineStr">
        <is>
          <t>INT-20260916-002</t>
        </is>
      </c>
      <c r="B3" s="18" t="inlineStr">
        <is>
          <t>2026-08-21</t>
        </is>
      </c>
      <c r="C3" s="18" t="inlineStr">
        <is>
          <t>2026-09-16</t>
        </is>
      </c>
      <c r="D3" s="18" t="inlineStr">
        <is>
          <t>SRC002</t>
        </is>
      </c>
      <c r="E3" s="18" t="inlineStr">
        <is>
          <t>量子位</t>
        </is>
      </c>
      <c r="F3" s="18" t="inlineStr">
        <is>
          <t>不藏了！Meta曝光Muse Spark 1.2核心具身能力</t>
        </is>
      </c>
      <c r="G3" s="18" t="inlineStr"/>
      <c r="H3" s="18" t="inlineStr">
        <is>
          <t>A</t>
        </is>
      </c>
      <c r="I3" s="18" t="inlineStr">
        <is>
          <t>T-MUSE-001</t>
        </is>
      </c>
      <c r="J3" s="18" t="inlineStr">
        <is>
          <t>Meta</t>
        </is>
      </c>
      <c r="K3" s="18" t="n">
        <v>5</v>
      </c>
      <c r="L3" s="18" t="inlineStr">
        <is>
          <t>ZeroBench 54.0%</t>
        </is>
      </c>
      <c r="M3" s="18" t="inlineStr">
        <is>
          <t>首批10项WildArtifactBench任务</t>
        </is>
      </c>
      <c r="N3" s="18" t="inlineStr">
        <is>
          <t>Muse Spark 1.2</t>
        </is>
      </c>
      <c r="O3" s="18" t="inlineStr">
        <is>
          <t>模型计划开源</t>
        </is>
      </c>
      <c r="P3" s="18" t="inlineStr"/>
      <c r="Q3" s="18" t="inlineStr">
        <is>
          <t>文章将Muse Spark 1.2描述为可完成视觉理解、任务拆解、工具调用与机器人规划的多模态Agent。</t>
        </is>
      </c>
      <c r="R3" s="18" t="inlineStr">
        <is>
          <t>公众号原文直链待补；下钻Meta Research博客与第三方基准。</t>
        </is>
      </c>
      <c r="S3" s="18" t="inlineStr">
        <is>
          <t>待核验</t>
        </is>
      </c>
      <c r="T3" s="18" t="inlineStr">
        <is>
          <t>hi work</t>
        </is>
      </c>
      <c r="U3" s="18" t="inlineStr">
        <is>
          <t>仅取得搜索快照，不作为全文核验。</t>
        </is>
      </c>
    </row>
    <row r="4">
      <c r="A4" s="18" t="inlineStr">
        <is>
          <t>INT-20260916-004</t>
        </is>
      </c>
      <c r="B4" s="18" t="inlineStr">
        <is>
          <t>2026-06-11</t>
        </is>
      </c>
      <c r="C4" s="18" t="inlineStr">
        <is>
          <t>2026-09-16</t>
        </is>
      </c>
      <c r="D4" s="18" t="inlineStr">
        <is>
          <t>SRC016</t>
        </is>
      </c>
      <c r="E4" s="18" t="inlineStr">
        <is>
          <t>DJE Kapital</t>
        </is>
      </c>
      <c r="F4" s="18" t="inlineStr">
        <is>
          <t>AI investment and monetisation: the technology sector is being reshaped</t>
        </is>
      </c>
      <c r="G4" s="18" t="inlineStr">
        <is>
          <t>https://www.dje.de/en/markets/ai-investment-and-monetisation-the-technology-sector-is-being-reshaped</t>
        </is>
      </c>
      <c r="H4" s="18" t="inlineStr">
        <is>
          <t>B</t>
        </is>
      </c>
      <c r="I4" s="18" t="inlineStr">
        <is>
          <t>T-CAPEX-001</t>
        </is>
      </c>
      <c r="J4" s="18" t="inlineStr">
        <is>
          <t>Meta/Google/Amazon/Microsoft</t>
        </is>
      </c>
      <c r="K4" s="18" t="n">
        <v>4</v>
      </c>
      <c r="L4" s="18" t="inlineStr">
        <is>
          <t>超大规模厂商投资7250亿-8000亿美元</t>
        </is>
      </c>
      <c r="M4" s="18" t="inlineStr">
        <is>
          <t>同比增长超60%</t>
        </is>
      </c>
      <c r="N4" s="18" t="inlineStr">
        <is>
          <t>约75%流向AI基础设施</t>
        </is>
      </c>
      <c r="O4" s="18" t="inlineStr">
        <is>
          <t>Meta Capex 1250亿-1450亿美元</t>
        </is>
      </c>
      <c r="P4" s="18" t="inlineStr">
        <is>
          <t>Alphabet 1800亿-1900亿美元</t>
        </is>
      </c>
      <c r="Q4" s="18" t="inlineStr">
        <is>
          <t>投资机构认为2026年AI商业化开始加速，但投资与回报路径分化；算力、内存和电力仍是瓶颈。</t>
        </is>
      </c>
      <c r="R4" s="18" t="inlineStr">
        <is>
          <t>B类先留要点；与各公司最新财报口径逐项校准后再升级。</t>
        </is>
      </c>
      <c r="S4" s="18" t="inlineStr">
        <is>
          <t>待核验</t>
        </is>
      </c>
      <c r="T4" s="18" t="inlineStr">
        <is>
          <t>hi work</t>
        </is>
      </c>
      <c r="U4" s="18" t="inlineStr">
        <is>
          <t>可访问全文；部分数据可能早于公司后续指引更新。</t>
        </is>
      </c>
    </row>
    <row r="5">
      <c r="A5" t="inlineStr">
        <is>
          <t>INT-20260916-014</t>
        </is>
      </c>
      <c r="B5" t="inlineStr">
        <is>
          <t>2026-08-20</t>
        </is>
      </c>
      <c r="C5" t="inlineStr">
        <is>
          <t>2026-09-16</t>
        </is>
      </c>
      <c r="D5" t="inlineStr">
        <is>
          <t>SRC018</t>
        </is>
      </c>
      <c r="E5" t="inlineStr">
        <is>
          <t>砺石商业评论</t>
        </is>
      </c>
      <c r="F5" t="inlineStr">
        <is>
          <t>腾讯已经拿到了AI时代的船票</t>
        </is>
      </c>
      <c r="G5" t="inlineStr">
        <is>
          <t>（搜索快照，直链待补）</t>
        </is>
      </c>
      <c r="H5" t="inlineStr">
        <is>
          <t>B</t>
        </is>
      </c>
      <c r="I5" t="inlineStr">
        <is>
          <t>T-CN-001</t>
        </is>
      </c>
      <c r="J5" t="inlineStr">
        <is>
          <t>腾讯</t>
        </is>
      </c>
      <c r="K5" t="n">
        <v>4</v>
      </c>
      <c r="L5" t="inlineStr">
        <is>
          <t>剔除AI新产品经营利润861亿+19%</t>
        </is>
      </c>
      <c r="M5" t="inlineStr">
        <is>
          <t>算力转售浮盈30%</t>
        </is>
      </c>
      <c r="N5" t="inlineStr">
        <is>
          <t>混元Hy3全球前三</t>
        </is>
      </c>
      <c r="O5" t="inlineStr">
        <is>
          <t>两种算法拆解腾讯Q2：AI原生投入与主业利润分层。</t>
        </is>
      </c>
      <c r="P5" t="inlineStr">
        <is>
          <t>取得公众号原文直链并核验引语。</t>
        </is>
      </c>
      <c r="Q5" t="inlineStr">
        <is>
          <t>待核验</t>
        </is>
      </c>
      <c r="R5" t="inlineStr">
        <is>
          <t>邢怀天（实习）</t>
        </is>
      </c>
      <c r="S5" t="inlineStr">
        <is>
          <t>B类为搜索快照</t>
        </is>
      </c>
    </row>
    <row r="6">
      <c r="A6" t="inlineStr">
        <is>
          <t>INT-20260916-015</t>
        </is>
      </c>
      <c r="B6" t="inlineStr">
        <is>
          <t>2026-08-19</t>
        </is>
      </c>
      <c r="C6" t="inlineStr">
        <is>
          <t>2026-09-16</t>
        </is>
      </c>
      <c r="D6" t="inlineStr">
        <is>
          <t>SRC019</t>
        </is>
      </c>
      <c r="E6" t="inlineStr">
        <is>
          <t>智东西</t>
        </is>
      </c>
      <c r="F6" t="inlineStr">
        <is>
          <t>可灵AI，二季度营收同比增长200%</t>
        </is>
      </c>
      <c r="G6" t="inlineStr">
        <is>
          <t>（搜索快照，直链待补）</t>
        </is>
      </c>
      <c r="H6" t="inlineStr">
        <is>
          <t>B</t>
        </is>
      </c>
      <c r="I6" t="inlineStr">
        <is>
          <t>T-CN-001</t>
        </is>
      </c>
      <c r="J6" t="inlineStr">
        <is>
          <t>快手</t>
        </is>
      </c>
      <c r="K6" t="n">
        <v>4</v>
      </c>
      <c r="L6" t="inlineStr">
        <is>
          <t>可灵8.5亿+200%</t>
        </is>
      </c>
      <c r="M6" t="inlineStr">
        <is>
          <t>用户破1亿</t>
        </is>
      </c>
      <c r="N6" t="inlineStr">
        <is>
          <t>融资30亿美元估值180亿</t>
        </is>
      </c>
      <c r="O6" t="inlineStr">
        <is>
          <t>可灵AI商业化闭环初步跑通；独立融资后算力支出更灵活。</t>
        </is>
      </c>
      <c r="P6" t="inlineStr">
        <is>
          <t>取得原文直链并核对财报口径。</t>
        </is>
      </c>
      <c r="Q6" t="inlineStr">
        <is>
          <t>待核验</t>
        </is>
      </c>
      <c r="R6" t="inlineStr">
        <is>
          <t>邢怀天（实习）</t>
        </is>
      </c>
      <c r="S6" t="inlineStr">
        <is>
          <t>B类为搜索快照</t>
        </is>
      </c>
    </row>
    <row r="7">
      <c r="A7" t="inlineStr">
        <is>
          <t>INT-20260916-016</t>
        </is>
      </c>
      <c r="B7" t="inlineStr">
        <is>
          <t>2026-08-21</t>
        </is>
      </c>
      <c r="C7" t="inlineStr">
        <is>
          <t>2026-09-16</t>
        </is>
      </c>
      <c r="D7" t="inlineStr">
        <is>
          <t>SRC020</t>
        </is>
      </c>
      <c r="E7" t="inlineStr">
        <is>
          <t>每日经济新闻</t>
        </is>
      </c>
      <c r="F7" t="inlineStr">
        <is>
          <t>阿里持续加码AI布局：单季资本性支出大增75%</t>
        </is>
      </c>
      <c r="G7" t="inlineStr">
        <is>
          <t>（搜索快照，直链待补）</t>
        </is>
      </c>
      <c r="H7" t="inlineStr">
        <is>
          <t>B</t>
        </is>
      </c>
      <c r="I7" t="inlineStr">
        <is>
          <t>T-CN-001</t>
        </is>
      </c>
      <c r="J7" t="inlineStr">
        <is>
          <t>阿里</t>
        </is>
      </c>
      <c r="K7" t="n">
        <v>4</v>
      </c>
      <c r="L7" t="inlineStr">
        <is>
          <t>Capex 676.78亿+75%</t>
        </is>
      </c>
      <c r="M7" t="inlineStr">
        <is>
          <t>回本2.5-3年</t>
        </is>
      </c>
      <c r="N7" t="inlineStr">
        <is>
          <t>AI实验室亏138.61亿</t>
        </is>
      </c>
      <c r="O7" t="inlineStr">
        <is>
          <t>吴泳铭：AI算力Capex三年内回本，有望缩短至2.5年甚至2年。</t>
        </is>
      </c>
      <c r="P7" t="inlineStr">
        <is>
          <t>取得原文直链并核对电话会口径。</t>
        </is>
      </c>
      <c r="Q7" t="inlineStr">
        <is>
          <t>待核验</t>
        </is>
      </c>
      <c r="R7" t="inlineStr">
        <is>
          <t>邢怀天（实习）</t>
        </is>
      </c>
      <c r="S7" t="inlineStr">
        <is>
          <t>B类为搜索快照</t>
        </is>
      </c>
    </row>
    <row r="8">
      <c r="A8" t="inlineStr">
        <is>
          <t>INT-20260916-017</t>
        </is>
      </c>
      <c r="B8" t="inlineStr">
        <is>
          <t>2026-08-31</t>
        </is>
      </c>
      <c r="C8" t="inlineStr">
        <is>
          <t>2026-09-16</t>
        </is>
      </c>
      <c r="D8" t="inlineStr">
        <is>
          <t>SRC021</t>
        </is>
      </c>
      <c r="E8" t="inlineStr">
        <is>
          <t>中国企业家</t>
        </is>
      </c>
      <c r="F8" t="inlineStr">
        <is>
          <t>美团未来之战：AI向内，全球化向外</t>
        </is>
      </c>
      <c r="G8" t="inlineStr">
        <is>
          <t>（搜索快照，直链待补）</t>
        </is>
      </c>
      <c r="H8" t="inlineStr">
        <is>
          <t>B</t>
        </is>
      </c>
      <c r="I8" t="inlineStr">
        <is>
          <t>T-CN-001</t>
        </is>
      </c>
      <c r="J8" t="inlineStr">
        <is>
          <t>美团</t>
        </is>
      </c>
      <c r="K8" t="n">
        <v>4</v>
      </c>
      <c r="L8" t="inlineStr">
        <is>
          <t>LongCat 2.0全国产</t>
        </is>
      </c>
      <c r="M8" t="inlineStr">
        <is>
          <t>小团代理执行</t>
        </is>
      </c>
      <c r="N8" t="inlineStr">
        <is>
          <t>Keeta沙特盈利</t>
        </is>
      </c>
      <c r="O8" t="inlineStr">
        <is>
          <t>王兴详解AI战略三方向，称不做Token工厂。</t>
        </is>
      </c>
      <c r="P8" t="inlineStr">
        <is>
          <t>取得原文直链并核对电话会口径。</t>
        </is>
      </c>
      <c r="Q8" t="inlineStr">
        <is>
          <t>待核验</t>
        </is>
      </c>
      <c r="R8" t="inlineStr">
        <is>
          <t>邢怀天（实习）</t>
        </is>
      </c>
      <c r="S8" t="inlineStr">
        <is>
          <t>B类为搜索快照</t>
        </is>
      </c>
    </row>
    <row r="9">
      <c r="A9" t="inlineStr">
        <is>
          <t>INT-20260916-019</t>
        </is>
      </c>
      <c r="B9" t="inlineStr">
        <is>
          <t>2026-09-03</t>
        </is>
      </c>
      <c r="C9" t="inlineStr">
        <is>
          <t>2026-09-16</t>
        </is>
      </c>
      <c r="D9" t="inlineStr">
        <is>
          <t>SRC002</t>
        </is>
      </c>
      <c r="E9" t="inlineStr">
        <is>
          <t>量子位</t>
        </is>
      </c>
      <c r="F9" t="inlineStr">
        <is>
          <t>Meta新模型逼平Fable 5，小扎：开源且便宜到你懒得算账</t>
        </is>
      </c>
      <c r="H9" t="inlineStr">
        <is>
          <t>A</t>
        </is>
      </c>
      <c r="I9" t="inlineStr">
        <is>
          <t>T-MUSE-001</t>
        </is>
      </c>
      <c r="J9" t="inlineStr">
        <is>
          <t>Meta</t>
        </is>
      </c>
      <c r="K9" t="n">
        <v>5</v>
      </c>
      <c r="L9" t="inlineStr">
        <is>
          <t>1.3 Max榜单62分</t>
        </is>
      </c>
      <c r="M9" t="inlineStr">
        <is>
          <t>工具调用-20%</t>
        </is>
      </c>
      <c r="N9" t="inlineStr">
        <is>
          <t>Token-25%</t>
        </is>
      </c>
      <c r="O9" t="inlineStr">
        <is>
          <t>输入$1.25/输出$4.25每百万Token</t>
        </is>
      </c>
      <c r="P9" t="inlineStr">
        <is>
          <t>单任务成本约$0.55 vs GPT-5.6约$0.95</t>
        </is>
      </c>
      <c r="Q9" t="inlineStr">
        <is>
          <t>编码与Agent能力大幅提升而价格不变，单位任务成本显著低于同级模型；开放权重为下一催化。</t>
        </is>
      </c>
      <c r="R9" t="inlineStr">
        <is>
          <t>与MS研报和Meta官方模型页勾稽；关注开放权重落地与订阅渗透。</t>
        </is>
      </c>
      <c r="S9" t="inlineStr">
        <is>
          <t>待核验</t>
        </is>
      </c>
      <c r="T9" t="inlineStr">
        <is>
          <t>hi work</t>
        </is>
      </c>
      <c r="U9" t="inlineStr">
        <is>
          <t>仅搜索快照，不作为全文核验。</t>
        </is>
      </c>
    </row>
    <row r="10">
      <c r="A10" t="inlineStr">
        <is>
          <t>INT-20260916-020</t>
        </is>
      </c>
      <c r="B10" t="inlineStr">
        <is>
          <t>2026-09-14</t>
        </is>
      </c>
      <c r="C10" t="inlineStr">
        <is>
          <t>2026-09-16</t>
        </is>
      </c>
      <c r="D10" t="inlineStr">
        <is>
          <t>SRC002</t>
        </is>
      </c>
      <c r="E10" t="inlineStr">
        <is>
          <t>量子位</t>
        </is>
      </c>
      <c r="F10" t="inlineStr">
        <is>
          <t>108亿天价薪酬留不住！Meta又失亿元AI先生</t>
        </is>
      </c>
      <c r="H10" t="inlineStr">
        <is>
          <t>B</t>
        </is>
      </c>
      <c r="I10" t="inlineStr">
        <is>
          <t>T-MUSE-001</t>
        </is>
      </c>
      <c r="J10" t="inlineStr">
        <is>
          <t>Meta</t>
        </is>
      </c>
      <c r="K10" t="n">
        <v>4</v>
      </c>
      <c r="L10" t="inlineStr">
        <is>
          <t>薪酬方案最高15亿美元</t>
        </is>
      </c>
      <c r="M10" t="inlineStr">
        <is>
          <t>第二段任期约11个月</t>
        </is>
      </c>
      <c r="N10" t="inlineStr">
        <is>
          <t>Muse发布两天后离职</t>
        </is>
      </c>
      <c r="O10" t="inlineStr">
        <is>
          <t>此前余家辉1.2发布八天后离职</t>
        </is>
      </c>
      <c r="Q10" t="inlineStr">
        <is>
          <t>Muse产品线两位核心研究员接连离场，组织端稳定性成为观察点。</t>
        </is>
      </c>
      <c r="R10" t="inlineStr">
        <is>
          <t>B类只留要点不下钻；一周内无后续再升级。</t>
        </is>
      </c>
      <c r="S10" t="inlineStr">
        <is>
          <t>待核验</t>
        </is>
      </c>
      <c r="T10" t="inlineStr">
        <is>
          <t>hi work</t>
        </is>
      </c>
      <c r="U10" t="inlineStr">
        <is>
          <t>转述口径；仅搜索快照。</t>
        </is>
      </c>
    </row>
    <row r="11">
      <c r="A11" t="inlineStr">
        <is>
          <t>INT-20260916-021</t>
        </is>
      </c>
      <c r="B11" t="inlineStr">
        <is>
          <t>2026-09-16</t>
        </is>
      </c>
      <c r="C11" t="inlineStr">
        <is>
          <t>2026-09-16</t>
        </is>
      </c>
      <c r="D11" t="inlineStr">
        <is>
          <t>SRC002</t>
        </is>
      </c>
      <c r="E11" t="inlineStr">
        <is>
          <t>量子位</t>
        </is>
      </c>
      <c r="F11" t="inlineStr">
        <is>
          <t>把记忆交给CPU，大模型会变快</t>
        </is>
      </c>
      <c r="H11" t="inlineStr">
        <is>
          <t>C</t>
        </is>
      </c>
      <c r="I11" t="inlineStr">
        <is>
          <t>T-CAPEX-001</t>
        </is>
      </c>
      <c r="J11" t="inlineStr">
        <is>
          <t>行业</t>
        </is>
      </c>
      <c r="K11" t="n">
        <v>3</v>
      </c>
      <c r="L11" t="inlineStr">
        <is>
          <t>压缩节省空间20%-30%</t>
        </is>
      </c>
      <c r="M11" t="inlineStr">
        <is>
          <t>TTFT最高约5倍加速</t>
        </is>
      </c>
      <c r="N11" t="inlineStr">
        <is>
          <t>QAT性能约软件压缩2倍</t>
        </is>
      </c>
      <c r="O11" t="inlineStr">
        <is>
          <t>命中率80%假设</t>
        </is>
      </c>
      <c r="Q11" t="inlineStr">
        <is>
          <t>算力经济性视角：推理时代显存外的分层缓存与硬件压缩是降本路径。</t>
        </is>
      </c>
      <c r="R11" t="inlineStr">
        <is>
          <t>C类要点即止。</t>
        </is>
      </c>
      <c r="S11" t="inlineStr">
        <is>
          <t>待核验</t>
        </is>
      </c>
      <c r="T11" t="inlineStr">
        <is>
          <t>hi work</t>
        </is>
      </c>
      <c r="U11" t="inlineStr">
        <is>
          <t>英特尔合作内容注意立场；仅搜索快照。</t>
        </is>
      </c>
    </row>
    <row r="12">
      <c r="A12" t="inlineStr">
        <is>
          <t>INT-20260916-022</t>
        </is>
      </c>
      <c r="B12" t="inlineStr">
        <is>
          <t>2026-09-09</t>
        </is>
      </c>
      <c r="C12" t="inlineStr">
        <is>
          <t>2026-09-16</t>
        </is>
      </c>
      <c r="D12" t="inlineStr">
        <is>
          <t>SRC003</t>
        </is>
      </c>
      <c r="E12" t="inlineStr">
        <is>
          <t>海豚研究（海豚投研）</t>
        </is>
      </c>
      <c r="F12" t="inlineStr">
        <is>
          <t>Muse发布点评：Meta AI个人助手</t>
        </is>
      </c>
      <c r="G12" t="inlineStr">
        <is>
          <t>https://web.lbkrs.com/en/news/dolphin?channel=n295337465</t>
        </is>
      </c>
      <c r="H12" t="inlineStr">
        <is>
          <t>A</t>
        </is>
      </c>
      <c r="I12" t="inlineStr">
        <is>
          <t>T-MUSE-001</t>
        </is>
      </c>
      <c r="J12" t="inlineStr">
        <is>
          <t>Meta</t>
        </is>
      </c>
      <c r="K12" t="n">
        <v>5</v>
      </c>
      <c r="L12" t="inlineStr">
        <is>
          <t>30亿社交图谱</t>
        </is>
      </c>
      <c r="M12" t="inlineStr">
        <is>
          <t>80%渗透×2%付费×$20/月≈年化$11.5B</t>
        </is>
      </c>
      <c r="N12" t="inlineStr">
        <is>
          <t>约占收入5%</t>
        </is>
      </c>
      <c r="O12" t="inlineStr">
        <is>
          <t>P/E 18x→25x中值≈$1.8T</t>
        </is>
      </c>
      <c r="P12" t="inlineStr">
        <is>
          <t>免费档每周约1亿Token</t>
        </is>
      </c>
      <c r="Q12" t="inlineStr">
        <is>
          <t>独立测算：订阅短期收入弹性有限，价值在广告护城河与佣金期权；给出渗透、付费率、留存跟踪指标。</t>
        </is>
      </c>
      <c r="R12" t="inlineStr">
        <is>
          <t>与Meta官方新闻稿及MS研报三点优势勾稽；关注用户渗透与可商业化行为。</t>
        </is>
      </c>
      <c r="S12" t="inlineStr">
        <is>
          <t>待核验</t>
        </is>
      </c>
      <c r="T12" t="inlineStr">
        <is>
          <t>hi work</t>
        </is>
      </c>
      <c r="U12" t="inlineStr">
        <is>
          <t>lbkrs直链；转述口径。</t>
        </is>
      </c>
    </row>
    <row r="13">
      <c r="A13" t="inlineStr">
        <is>
          <t>INT-20260916-023</t>
        </is>
      </c>
      <c r="B13" t="inlineStr">
        <is>
          <t>2026-04-14</t>
        </is>
      </c>
      <c r="C13" t="inlineStr">
        <is>
          <t>2026-09-16</t>
        </is>
      </c>
      <c r="D13" t="inlineStr">
        <is>
          <t>SRC003</t>
        </is>
      </c>
      <c r="E13" t="inlineStr">
        <is>
          <t>海豚研究（海豚投研）</t>
        </is>
      </c>
      <c r="F13" t="inlineStr">
        <is>
          <t>全球数字广告老大或将易主：Meta有望首次超越谷歌</t>
        </is>
      </c>
      <c r="G13" t="inlineStr">
        <is>
          <t>https://web.lbkrs.com/news/282604364</t>
        </is>
      </c>
      <c r="H13" t="inlineStr">
        <is>
          <t>B</t>
        </is>
      </c>
      <c r="I13" t="inlineStr">
        <is>
          <t>T-ADS-001</t>
        </is>
      </c>
      <c r="J13" t="inlineStr">
        <is>
          <t>Meta</t>
        </is>
      </c>
      <c r="K13" t="n">
        <v>4</v>
      </c>
      <c r="L13" t="inlineStr">
        <is>
          <t>Meta净广告$243.46B vs 谷歌$239.54B</t>
        </is>
      </c>
      <c r="M13" t="inlineStr">
        <is>
          <t>Meta增速24.1% vs 谷歌11.9%</t>
        </is>
      </c>
      <c r="N13" t="inlineStr">
        <is>
          <t>谷歌美国搜索份额48.5%</t>
        </is>
      </c>
      <c r="O13" t="inlineStr">
        <is>
          <t>三家合计份额59.9%→62.3%</t>
        </is>
      </c>
      <c r="Q13" t="inlineStr">
        <is>
          <t>AI推荐+Reels放量推动Meta广告首次登顶预期；谷歌份额被亚马逊与AI搜索蚕食。</t>
        </is>
      </c>
      <c r="R13" t="inlineStr">
        <is>
          <t>B类留要点；与各家财报量价数据交叉验证。</t>
        </is>
      </c>
      <c r="S13" t="inlineStr">
        <is>
          <t>待核验</t>
        </is>
      </c>
      <c r="T13" t="inlineStr">
        <is>
          <t>hi work</t>
        </is>
      </c>
      <c r="U13" t="inlineStr">
        <is>
          <t>eMarketer预测口径2026-04-14；lbkrs直链。</t>
        </is>
      </c>
    </row>
    <row r="14">
      <c r="A14" t="inlineStr">
        <is>
          <t>INT-20260917-025</t>
        </is>
      </c>
      <c r="B14" t="inlineStr">
        <is>
          <t>2026-09-17</t>
        </is>
      </c>
      <c r="C14" t="inlineStr">
        <is>
          <t>2026-09-17</t>
        </is>
      </c>
      <c r="D14" t="inlineStr">
        <is>
          <t>SRC004</t>
        </is>
      </c>
      <c r="E14" t="inlineStr">
        <is>
          <t>虎嗅</t>
        </is>
      </c>
      <c r="F14" t="inlineStr">
        <is>
          <t>端侧AI之战正式打响</t>
        </is>
      </c>
      <c r="G14" t="inlineStr">
        <is>
          <t>https://m.huxiu.com/article/4891919.html</t>
        </is>
      </c>
      <c r="H14" t="inlineStr">
        <is>
          <t>AI垂直类</t>
        </is>
      </c>
      <c r="I14" t="inlineStr">
        <is>
          <t>T-IND-001</t>
        </is>
      </c>
      <c r="J14" t="inlineStr">
        <is>
          <t>行业</t>
        </is>
      </c>
      <c r="K14" t="n">
        <v>4</v>
      </c>
      <c r="L14" t="inlineStr">
        <is>
          <t>讯飞开源星火X2.5-4B/1.7B，支持100万Token上下文</t>
        </is>
      </c>
      <c r="M14" t="inlineStr">
        <is>
          <t>面壁智能CEO：2026年是端侧AI商业化元年</t>
        </is>
      </c>
      <c r="N14" t="inlineStr">
        <is>
          <t>豆包AI手机NaviX Ultra 9月16日亮相</t>
        </is>
      </c>
      <c r="O14" t="inlineStr">
        <is>
          <t>小米18 Fold内置MiMo端侧大模型</t>
        </is>
      </c>
      <c r="Q14" t="inlineStr">
        <is>
          <t>虎嗅转载巨潮WAVE：跳出耗资巨大的云端大模型军备竞赛，端侧模型与AI智能终端成为硬件企业深度参与AI的新方向。讯飞开源端侧模型、苹果Apple智能、小米与豆包AI手机密集落地，谷歌与OpenAI也在探索端侧研发，端侧之战已经开启。</t>
        </is>
      </c>
      <c r="R14" t="inlineStr">
        <is>
          <t>下钻各端侧模型参数与成本数据、手机厂商AI功能渗透率；对照公司页腾讯混元Hy4 preview轻量化路径（1.5TB权重压至214GB）。</t>
        </is>
      </c>
      <c r="S14" t="inlineStr">
        <is>
          <t>全文已缓存</t>
        </is>
      </c>
      <c r="U14" t="inlineStr">
        <is>
          <t>虎嗅为巨潮WAVE公众号转载稿，作者谢泽锋、编辑杨旭然；全文已缓存本地。</t>
        </is>
      </c>
    </row>
    <row r="15">
      <c r="A15" t="inlineStr">
        <is>
          <t>INT-20260917-026</t>
        </is>
      </c>
      <c r="B15" t="inlineStr">
        <is>
          <t>2026-09-17</t>
        </is>
      </c>
      <c r="C15" t="inlineStr">
        <is>
          <t>2026-09-17</t>
        </is>
      </c>
      <c r="D15" t="inlineStr">
        <is>
          <t>SRC004</t>
        </is>
      </c>
      <c r="E15" t="inlineStr">
        <is>
          <t>虎嗅</t>
        </is>
      </c>
      <c r="F15" t="inlineStr">
        <is>
          <t>人类距离AI失控还有多远？</t>
        </is>
      </c>
      <c r="G15" t="inlineStr">
        <is>
          <t>https://m.huxiu.com/article/4891907.html</t>
        </is>
      </c>
      <c r="H15" t="inlineStr">
        <is>
          <t>AI垂直类</t>
        </is>
      </c>
      <c r="I15" t="inlineStr">
        <is>
          <t>T-CAPEX-001</t>
        </is>
      </c>
      <c r="J15" t="inlineStr">
        <is>
          <t>行业</t>
        </is>
      </c>
      <c r="K15" t="n">
        <v>3</v>
      </c>
      <c r="L15" t="inlineStr">
        <is>
          <t>BIS：五大科技公司2025-2026年AI投资超1万亿美元，且越来越多靠借债</t>
        </is>
      </c>
      <c r="M15" t="inlineStr">
        <is>
          <t>OpenAI已提交IPO申请，估值8520亿美元</t>
        </is>
      </c>
      <c r="N15" t="inlineStr">
        <is>
          <t>英伟达考虑最多100亿美元做基石投资者</t>
        </is>
      </c>
      <c r="O15" t="inlineStr">
        <is>
          <t>文章称AI已跨过五道门：参与自身研发、突破沙箱入侵真实系统</t>
        </is>
      </c>
      <c r="Q15" t="inlineStr">
        <is>
          <t>虎嗅盘点AI安全与投资泡沫的双重焦虑：国际清算银行9月10日警告头部科技公司AI投资依赖债务融资，若收益无法兑现金融市场将面临风险；行业陷入囚徒困境式竞赛，谁都不敢先停。</t>
        </is>
      </c>
      <c r="R15" t="inlineStr">
        <is>
          <t>下钻BIS报告原文与五大科技公司capex与债务结构；对照看板T-CAPEX-001主题的各公司官方口径。</t>
        </is>
      </c>
      <c r="S15" t="inlineStr">
        <is>
          <t>全文已缓存</t>
        </is>
      </c>
      <c r="U15" t="inlineStr">
        <is>
          <t>观点性文章，数字为引用公开报道口径（BIS、OpenAI IPO申请等）；全文已缓存本地。</t>
        </is>
      </c>
    </row>
    <row r="16">
      <c r="A16" t="inlineStr">
        <is>
          <t>INT-20260917-027</t>
        </is>
      </c>
      <c r="B16" t="inlineStr">
        <is>
          <t>2026-09-17</t>
        </is>
      </c>
      <c r="C16" t="inlineStr">
        <is>
          <t>2026-09-17</t>
        </is>
      </c>
      <c r="D16" t="inlineStr">
        <is>
          <t>SRC004</t>
        </is>
      </c>
      <c r="E16" t="inlineStr">
        <is>
          <t>虎嗅</t>
        </is>
      </c>
      <c r="F16" t="inlineStr">
        <is>
          <t>大批AI影视剧要上桌了</t>
        </is>
      </c>
      <c r="G16" t="inlineStr">
        <is>
          <t>https://m.huxiu.com/article/4891918.html</t>
        </is>
      </c>
      <c r="H16" t="inlineStr">
        <is>
          <t>AI垂直类</t>
        </is>
      </c>
      <c r="I16" t="inlineStr">
        <is>
          <t>T-IND-001</t>
        </is>
      </c>
      <c r="J16" t="inlineStr">
        <is>
          <t>行业</t>
        </is>
      </c>
      <c r="K16" t="n">
        <v>2</v>
      </c>
      <c r="L16" t="inlineStr">
        <is>
          <t>AI生成影视剧内容批量上线</t>
        </is>
      </c>
      <c r="Q16" t="inlineStr">
        <is>
          <t>虎嗅关注AI生成影视剧内容规模化上线，AI视频从生成工具走向成片交付。</t>
        </is>
      </c>
      <c r="R16" t="inlineStr">
        <is>
          <t>C类要点即止；跟踪AI视频对内容成本结构与长视频平台供给端的实际影响。</t>
        </is>
      </c>
      <c r="S16" t="inlineStr">
        <is>
          <t>全文已缓存</t>
        </is>
      </c>
      <c r="U16" t="inlineStr">
        <is>
          <t>全文已缓存本地，未做逐段核验。</t>
        </is>
      </c>
    </row>
    <row r="17">
      <c r="A17" t="inlineStr">
        <is>
          <t>INT-20260917-028</t>
        </is>
      </c>
      <c r="B17" t="inlineStr">
        <is>
          <t>2026-09-17</t>
        </is>
      </c>
      <c r="C17" t="inlineStr">
        <is>
          <t>2026-09-17</t>
        </is>
      </c>
      <c r="D17" t="inlineStr">
        <is>
          <t>SRC004</t>
        </is>
      </c>
      <c r="E17" t="inlineStr">
        <is>
          <t>虎嗅</t>
        </is>
      </c>
      <c r="F17" t="inlineStr">
        <is>
          <t>看·独家 | 雷军招来的90后AI天才，又一位将离开小米</t>
        </is>
      </c>
      <c r="G17" t="inlineStr">
        <is>
          <t>https://m.huxiu.com/article/4891913.html</t>
        </is>
      </c>
      <c r="H17" t="inlineStr">
        <is>
          <t>AI垂直类</t>
        </is>
      </c>
      <c r="I17" t="inlineStr">
        <is>
          <t>T-IND-001</t>
        </is>
      </c>
      <c r="J17" t="inlineStr">
        <is>
          <t>行业</t>
        </is>
      </c>
      <c r="K17" t="n">
        <v>2</v>
      </c>
      <c r="L17" t="inlineStr">
        <is>
          <t>虎嗅独家：小米AI人才再度流失</t>
        </is>
      </c>
      <c r="Q17" t="inlineStr">
        <is>
          <t>虎嗅独家报道小米引进的90后AI人才再度离开，折射大模型人才争夺战下手机厂商自研AI团队的留人压力。</t>
        </is>
      </c>
      <c r="R17" t="inlineStr">
        <is>
          <t>C类要点即止；跟踪小米AI团队稳定性与大模型投入动向。</t>
        </is>
      </c>
      <c r="S17" t="inlineStr">
        <is>
          <t>全文已缓存</t>
        </is>
      </c>
      <c r="U17" t="inlineStr">
        <is>
          <t>独家报道口径，未经小米官方确认；全文已缓存本地。</t>
        </is>
      </c>
    </row>
    <row r="18">
      <c r="A18" t="inlineStr">
        <is>
          <t>INT-20260917-029</t>
        </is>
      </c>
      <c r="B18" t="inlineStr">
        <is>
          <t>2026-09-17</t>
        </is>
      </c>
      <c r="C18" t="inlineStr">
        <is>
          <t>2026-09-17</t>
        </is>
      </c>
      <c r="E18" t="inlineStr">
        <is>
          <t>虎嗅</t>
        </is>
      </c>
      <c r="F18" t="inlineStr">
        <is>
          <t>别只问AI会不会毁灭人类</t>
        </is>
      </c>
      <c r="G18" t="inlineStr">
        <is>
          <t>https://m.huxiu.com/article/4891920.html</t>
        </is>
      </c>
      <c r="H18" t="inlineStr">
        <is>
          <t>AI垂直类</t>
        </is>
      </c>
      <c r="I18" t="inlineStr">
        <is>
          <t>T-IND-001</t>
        </is>
      </c>
      <c r="J18" t="inlineStr">
        <is>
          <t>行业</t>
        </is>
      </c>
      <c r="K18" t="n">
        <v>3</v>
      </c>
      <c r="L18" t="inlineStr">
        <is>
          <t>别只问AI会不会毁灭人类-虎嗅网2026-09-1711:43别只问AI会不会毁灭人类观潮Guanch</t>
        </is>
      </c>
      <c r="M18" t="inlineStr">
        <is>
          <t>AI毁灭全人类的概率超过10%</t>
        </is>
      </c>
      <c r="N18" t="inlineStr">
        <is>
          <t>观潮无意纠缠“10%的概率究竟大还是小”</t>
        </is>
      </c>
      <c r="Q18" t="inlineStr">
        <is>
          <t>别只问AI会不会毁灭人类-虎嗅网2026-09-1711:43别只问AI会不会毁灭人类观潮Guanchao速览本文来自微信公众号：观潮体系，作者：观潮——论人类文明在自我演化中如何自处“十年之内，AI毁灭全人类的概率超过…</t>
        </is>
      </c>
      <c r="R18" t="inlineStr">
        <is>
          <t>自动抓取条目；下钻原文并人工核对归属公司与口径。</t>
        </is>
      </c>
      <c r="S18" t="inlineStr">
        <is>
          <t>全文已缓存</t>
        </is>
      </c>
      <c r="U18" t="inlineStr">
        <is>
          <t>自动爬取·待人工复核</t>
        </is>
      </c>
    </row>
    <row r="19">
      <c r="A19" t="inlineStr">
        <is>
          <t>INT-20260917-030</t>
        </is>
      </c>
      <c r="B19" t="inlineStr">
        <is>
          <t>2026-09-17</t>
        </is>
      </c>
      <c r="C19" t="inlineStr">
        <is>
          <t>2026-09-17</t>
        </is>
      </c>
      <c r="E19" t="inlineStr">
        <is>
          <t>量子位</t>
        </is>
      </c>
      <c r="F19" t="inlineStr">
        <is>
          <t>协同办公进入Agent时代，飞书+豆包工作跑在了最前面 – 量子位</t>
        </is>
      </c>
      <c r="G19" t="inlineStr">
        <is>
          <t>https://www.qbitai.com/2026/09/490686.html</t>
        </is>
      </c>
      <c r="H19" t="inlineStr">
        <is>
          <t>AI垂直类</t>
        </is>
      </c>
      <c r="I19" t="inlineStr">
        <is>
          <t>T-IND-001</t>
        </is>
      </c>
      <c r="J19" t="inlineStr">
        <is>
          <t>行业</t>
        </is>
      </c>
      <c r="K19" t="n">
        <v>3</v>
      </c>
      <c r="L19" t="inlineStr">
        <is>
          <t>飞书+豆包工作跑在了最前面听雨2026-09-1615:46:38来源：量子位AI协同办公的新官配</t>
        </is>
      </c>
      <c r="M19" t="inlineStr">
        <is>
          <t>刚刚举办的2026飞书未来无限大会暨豆包工作开工大会上</t>
        </is>
      </c>
      <c r="N19" t="inlineStr">
        <is>
          <t>两个重磅新品来了：飞书8.0和豆包工作伙伴</t>
        </is>
      </c>
      <c r="Q19" t="inlineStr">
        <is>
          <t>协同办公进入Agent时代，飞书+豆包工作跑在了最前面–量子位首页资讯智能车智库活动MEET大会AIGC扫码关注量子位--&gt;协同办公进入Agent时代，飞书+豆包工作跑在了最前面听雨2026-09-1615:46:38来…</t>
        </is>
      </c>
      <c r="R19" t="inlineStr">
        <is>
          <t>自动抓取条目；下钻原文并人工核对归属公司与口径。</t>
        </is>
      </c>
      <c r="S19" t="inlineStr">
        <is>
          <t>全文已缓存</t>
        </is>
      </c>
      <c r="U19" t="inlineStr">
        <is>
          <t>自动爬取·待人工复核</t>
        </is>
      </c>
    </row>
    <row r="20">
      <c r="A20" t="inlineStr">
        <is>
          <t>INT-20260917-031</t>
        </is>
      </c>
      <c r="B20" t="inlineStr">
        <is>
          <t>2026-09-17</t>
        </is>
      </c>
      <c r="C20" t="inlineStr">
        <is>
          <t>2026-09-17</t>
        </is>
      </c>
      <c r="E20" t="inlineStr">
        <is>
          <t>量子位</t>
        </is>
      </c>
      <c r="F20" t="inlineStr">
        <is>
          <t>被英伟达点名的杭州团队，补上了AI for Science的「最后一公里」 – 量子位</t>
        </is>
      </c>
      <c r="G20" t="inlineStr">
        <is>
          <t>https://www.qbitai.com/2026/09/490185.html</t>
        </is>
      </c>
      <c r="H20" t="inlineStr">
        <is>
          <t>AI垂直类</t>
        </is>
      </c>
      <c r="I20" t="inlineStr">
        <is>
          <t>T-IND-001</t>
        </is>
      </c>
      <c r="J20" t="inlineStr">
        <is>
          <t>行业</t>
        </is>
      </c>
      <c r="K20" t="n">
        <v>4</v>
      </c>
      <c r="L20" t="inlineStr">
        <is>
          <t>补上了AIforScience的「最后一公里」杰西卡2026-09-1611:40:35来源：量子位</t>
        </is>
      </c>
      <c r="Q20" t="inlineStr">
        <is>
          <t>被英伟达点名的杭州团队，补上了AIforScience的「最后一公里」–量子位首页资讯智能车智库活动MEET大会AIGC扫码关注量子位--&gt;被英伟达点名的杭州团队，补上了AIforScience的「最后一公里」杰西卡20…</t>
        </is>
      </c>
      <c r="R20" t="inlineStr">
        <is>
          <t>自动抓取条目；下钻原文并人工核对归属公司与口径。</t>
        </is>
      </c>
      <c r="S20" t="inlineStr">
        <is>
          <t>全文已缓存</t>
        </is>
      </c>
      <c r="U20" t="inlineStr">
        <is>
          <t>自动爬取·待人工复核</t>
        </is>
      </c>
    </row>
    <row r="21">
      <c r="A21" t="inlineStr">
        <is>
          <t>INT-20260917-032</t>
        </is>
      </c>
      <c r="B21" t="inlineStr">
        <is>
          <t>2026-09-17</t>
        </is>
      </c>
      <c r="C21" t="inlineStr">
        <is>
          <t>2026-09-17</t>
        </is>
      </c>
      <c r="E21" t="inlineStr">
        <is>
          <t>量子位</t>
        </is>
      </c>
      <c r="F21" t="inlineStr">
        <is>
          <t>把记忆交给CPU，大模型会变快 – 量子位</t>
        </is>
      </c>
      <c r="G21" t="inlineStr">
        <is>
          <t>https://www.qbitai.com/2026/09/489724.html</t>
        </is>
      </c>
      <c r="H21" t="inlineStr">
        <is>
          <t>AI垂直类</t>
        </is>
      </c>
      <c r="I21" t="inlineStr">
        <is>
          <t>T-IND-001</t>
        </is>
      </c>
      <c r="J21" t="inlineStr">
        <is>
          <t>行业</t>
        </is>
      </c>
      <c r="K21" t="n">
        <v>3</v>
      </c>
      <c r="L21" t="inlineStr">
        <is>
          <t>大模型会变快十三2026-09-1611:07:18来源：量子位让GPU去忙生成Token金</t>
        </is>
      </c>
      <c r="Q21" t="inlineStr">
        <is>
          <t>把记忆交给CPU，大模型会变快–量子位首页资讯智能车智库活动MEET大会AIGC扫码关注量子位--&gt;把记忆交给CPU，大模型会变快十三2026-09-1611:07:18来源：量子位让GPU去忙生成Token金磊发自凹非…</t>
        </is>
      </c>
      <c r="R21" t="inlineStr">
        <is>
          <t>自动抓取条目；下钻原文并人工核对归属公司与口径。</t>
        </is>
      </c>
      <c r="S21" t="inlineStr">
        <is>
          <t>全文已缓存</t>
        </is>
      </c>
      <c r="U21" t="inlineStr">
        <is>
          <t>自动爬取·待人工复核</t>
        </is>
      </c>
    </row>
    <row r="22">
      <c r="A22" t="inlineStr">
        <is>
          <t>INT-20260917-033</t>
        </is>
      </c>
      <c r="B22" t="inlineStr">
        <is>
          <t>2026-09-17</t>
        </is>
      </c>
      <c r="C22" t="inlineStr">
        <is>
          <t>2026-09-17</t>
        </is>
      </c>
      <c r="E22" t="inlineStr">
        <is>
          <t>量子位</t>
        </is>
      </c>
      <c r="F22" t="inlineStr">
        <is>
          <t>网易有道周枫：AI能力竞争，正在进入「Model + Agent + Workflow」时代，网易有道AI Open D</t>
        </is>
      </c>
      <c r="G22" t="inlineStr">
        <is>
          <t>https://www.qbitai.com/2026/09/490974.html</t>
        </is>
      </c>
      <c r="H22" t="inlineStr">
        <is>
          <t>AI垂直类</t>
        </is>
      </c>
      <c r="I22" t="inlineStr">
        <is>
          <t>T-IND-001</t>
        </is>
      </c>
      <c r="J22" t="inlineStr">
        <is>
          <t>行业</t>
        </is>
      </c>
      <c r="K22" t="n">
        <v>3</v>
      </c>
      <c r="L22" t="inlineStr">
        <is>
          <t>有道AIOpenDay展示AI时代“有道解法”量子位的朋友们2026-09-1709:55:14来源：量子位</t>
        </is>
      </c>
      <c r="Q22" t="inlineStr">
        <is>
          <t>网易有道周枫：AI能力竞争，正在进入「Model+Agent+Workflow」时代，网易有道AIOpenDay展示AI时代“有道解法”–量子位首页资讯智能车智库活动MEET大会AIGC扫码关注量子位--&gt;网易有道周枫：…</t>
        </is>
      </c>
      <c r="R22" t="inlineStr">
        <is>
          <t>自动抓取条目；下钻原文并人工核对归属公司与口径。</t>
        </is>
      </c>
      <c r="S22" t="inlineStr">
        <is>
          <t>全文已缓存</t>
        </is>
      </c>
      <c r="U22" t="inlineStr">
        <is>
          <t>自动爬取·待人工复核</t>
        </is>
      </c>
    </row>
    <row r="23">
      <c r="A23" t="inlineStr">
        <is>
          <t>INT-20260917-034</t>
        </is>
      </c>
      <c r="B23" t="inlineStr">
        <is>
          <t>2026-09-17</t>
        </is>
      </c>
      <c r="C23" t="inlineStr">
        <is>
          <t>2026-09-17</t>
        </is>
      </c>
      <c r="D23" t="inlineStr">
        <is>
          <t>SRC002</t>
        </is>
      </c>
      <c r="E23" t="inlineStr">
        <is>
          <t>量子位</t>
        </is>
      </c>
      <c r="F23" t="inlineStr">
        <is>
          <t>马斯克睡进工地！为AI基建拼了 – 量子位</t>
        </is>
      </c>
      <c r="G23" t="inlineStr">
        <is>
          <t>https://www.qbitai.com/2026/09/491280.html</t>
        </is>
      </c>
      <c r="H23" t="inlineStr">
        <is>
          <t>AI垂直类</t>
        </is>
      </c>
      <c r="I23" t="inlineStr">
        <is>
          <t>T-IND-001</t>
        </is>
      </c>
      <c r="J23" t="inlineStr">
        <is>
          <t>行业</t>
        </is>
      </c>
      <c r="K23" t="n">
        <v>3</v>
      </c>
      <c r="L23" t="inlineStr">
        <is>
          <t>IGC扫码关注量子位--&gt;马斯克睡进工地！为AI基建拼了鱼羊2026-09-1712:37:26来源：量子位</t>
        </is>
      </c>
      <c r="M23" t="inlineStr">
        <is>
          <t>并且再一次创下惊人的「马斯克纪录」：只用122天就完成了10万块GPU的上线部署</t>
        </is>
      </c>
      <c r="N23" t="inlineStr">
        <is>
          <t>随后又用92天把规模翻倍到20万张</t>
        </is>
      </c>
      <c r="Q23" t="inlineStr">
        <is>
          <t>马斯克睡进工地！为AI基建拼了–量子位首页资讯智能车智库活动MEET大会AIGC扫码关注量子位--&gt;马斯克睡进工地！为AI基建拼了鱼羊2026-09-1712:37:26来源：量子位AI正火嘛，老马的待遇也算提升了一点：…</t>
        </is>
      </c>
      <c r="R23" t="inlineStr">
        <is>
          <t>自动抓取条目；下钻原文并人工核对归属公司与口径。</t>
        </is>
      </c>
      <c r="S23" t="inlineStr">
        <is>
          <t>全文已缓存</t>
        </is>
      </c>
      <c r="U23" t="inlineStr">
        <is>
          <t>自动爬取·待人工复核</t>
        </is>
      </c>
    </row>
    <row r="24">
      <c r="A24" t="inlineStr">
        <is>
          <t>INT-20260917-035</t>
        </is>
      </c>
      <c r="B24" t="inlineStr">
        <is>
          <t>2026-09-17</t>
        </is>
      </c>
      <c r="C24" t="inlineStr">
        <is>
          <t>2026-09-17</t>
        </is>
      </c>
      <c r="D24" t="inlineStr">
        <is>
          <t>SRC002</t>
        </is>
      </c>
      <c r="E24" t="inlineStr">
        <is>
          <t>量子位</t>
        </is>
      </c>
      <c r="F24" t="inlineStr">
        <is>
          <t>量子位&amp;拉勾打造大型AI专场招聘，招优质人才的KPI交给我们了！</t>
        </is>
      </c>
      <c r="G24" t="inlineStr">
        <is>
          <t>https://mp.weixin.qq.com/s?src=11&amp;timestamp=1789623837&amp;ver=6971&amp;signature=k8TmBlaWYlpaWpDJP28LQTuBEpXtIePYHGdwvSVGoHUmkhroTkqX02V397Ggy7NO0I0TG9osYDofmmRf1YDGBAqIL91yRIPeCcVeJ6XB16kk9YO463kEb1NNdBPvwpUa&amp;new=1</t>
        </is>
      </c>
      <c r="H24" t="inlineStr">
        <is>
          <t>AI垂直类</t>
        </is>
      </c>
      <c r="I24" t="inlineStr">
        <is>
          <t>T-IND-001</t>
        </is>
      </c>
      <c r="J24" t="inlineStr">
        <is>
          <t>行业</t>
        </is>
      </c>
      <c r="K24" t="n">
        <v>3</v>
      </c>
      <c r="L24" t="inlineStr">
        <is>
          <t>报道AI量子位在小说阅读器读本章去阅读在公众号小说中沉浸阅读2018年3月5日-21日</t>
        </is>
      </c>
      <c r="M24" t="inlineStr">
        <is>
          <t>／为什么要来参与参与此次大型AI专场招聘活动的企业将会获得：1</t>
        </is>
      </c>
      <c r="N24" t="inlineStr">
        <is>
          <t>3月5日-3月21日</t>
        </is>
      </c>
      <c r="Q24" t="inlineStr">
        <is>
          <t>量子位&amp;拉勾打造大型AI专场招聘，招优质人才的KPI交给我们了！专注报道AI专注报道AI量子位在小说阅读器读本章去阅读在公众号小说中沉浸阅读2018年3月5日-21日，拉勾将开启名为“全民升职季”的大型春季招聘，量子位联…</t>
        </is>
      </c>
      <c r="R24" t="inlineStr">
        <is>
          <t>自动抓取条目；下钻原文并人工核对归属公司与口径。</t>
        </is>
      </c>
      <c r="S24" t="inlineStr">
        <is>
          <t>全文已缓存</t>
        </is>
      </c>
      <c r="U24" t="inlineStr">
        <is>
          <t>自动爬取·待人工复核；微信链接受签名时效限制，失效后按标题在搜狗微信重查</t>
        </is>
      </c>
    </row>
    <row r="25">
      <c r="A25" t="inlineStr">
        <is>
          <t>INT-20260917-036</t>
        </is>
      </c>
      <c r="B25" t="inlineStr">
        <is>
          <t>2026-09-17</t>
        </is>
      </c>
      <c r="C25" t="inlineStr">
        <is>
          <t>2026-09-17</t>
        </is>
      </c>
      <c r="D25" t="inlineStr">
        <is>
          <t>SRC001</t>
        </is>
      </c>
      <c r="E25" t="inlineStr">
        <is>
          <t>Deeptech深科技</t>
        </is>
      </c>
      <c r="F25" t="inlineStr">
        <is>
          <t>AI不一定要“聊天”，OpenAI前研究员研发只做决策的模型，绕开文本生成，响应速度快200倍</t>
        </is>
      </c>
      <c r="G25" t="inlineStr">
        <is>
          <t>https://www.mittrchina.com/news/detail/16964</t>
        </is>
      </c>
      <c r="H25" t="inlineStr">
        <is>
          <t>AI垂直类</t>
        </is>
      </c>
      <c r="I25" t="inlineStr">
        <is>
          <t>T-IND-001</t>
        </is>
      </c>
      <c r="J25" t="inlineStr">
        <is>
          <t>行业</t>
        </is>
      </c>
      <c r="K25" t="n">
        <v>4</v>
      </c>
      <c r="L25" t="inlineStr">
        <is>
          <t>要点待人工补充</t>
        </is>
      </c>
      <c r="Q25" t="inlineStr">
        <is>
          <t>大模型一定要一个token接一个token地生成文字吗？…</t>
        </is>
      </c>
      <c r="R25" t="inlineStr">
        <is>
          <t>自动抓取条目；下钻原文并人工核对归属公司与口径。</t>
        </is>
      </c>
      <c r="S25" t="inlineStr">
        <is>
          <t>全文已缓存</t>
        </is>
      </c>
      <c r="U25" t="inlineStr">
        <is>
          <t>自动爬取·待人工复核</t>
        </is>
      </c>
    </row>
    <row r="26">
      <c r="A26" t="inlineStr">
        <is>
          <t>INT-20260917-037</t>
        </is>
      </c>
      <c r="B26" t="inlineStr">
        <is>
          <t>2026-09-17</t>
        </is>
      </c>
      <c r="C26" t="inlineStr">
        <is>
          <t>2026-09-17</t>
        </is>
      </c>
      <c r="D26" t="inlineStr">
        <is>
          <t>SRC001</t>
        </is>
      </c>
      <c r="E26" t="inlineStr">
        <is>
          <t>Deeptech深科技</t>
        </is>
      </c>
      <c r="F26" t="inlineStr">
        <is>
          <t>OpenAI盯上破产药企：最值钱的可能不是专利，而是数据</t>
        </is>
      </c>
      <c r="G26" t="inlineStr">
        <is>
          <t>https://www.mittrchina.com/news/detail/16963</t>
        </is>
      </c>
      <c r="H26" t="inlineStr">
        <is>
          <t>AI垂直类</t>
        </is>
      </c>
      <c r="I26" t="inlineStr">
        <is>
          <t>T-IND-001</t>
        </is>
      </c>
      <c r="J26" t="inlineStr">
        <is>
          <t>行业</t>
        </is>
      </c>
      <c r="K26" t="n">
        <v>4</v>
      </c>
      <c r="L26" t="inlineStr">
        <is>
          <t>要点待人工补充</t>
        </is>
      </c>
      <c r="Q26" t="inlineStr">
        <is>
          <t>去年，专注临床试验政策研究的鲁克桑德拉·特斯洛（RuxandraTeslo）提出了一个颇为大胆的想法：想让医疗AI变得更强，不妨去挖那些已经倒闭的生物科技公司留下的数据。…</t>
        </is>
      </c>
      <c r="R26" t="inlineStr">
        <is>
          <t>自动抓取条目；下钻原文并人工核对归属公司与口径。</t>
        </is>
      </c>
      <c r="S26" t="inlineStr">
        <is>
          <t>全文已缓存</t>
        </is>
      </c>
      <c r="U26" t="inlineStr">
        <is>
          <t>自动爬取·待人工复核</t>
        </is>
      </c>
    </row>
    <row r="27">
      <c r="A27" t="inlineStr">
        <is>
          <t>INT-20260917-038</t>
        </is>
      </c>
      <c r="B27" t="inlineStr">
        <is>
          <t>2026-09-17</t>
        </is>
      </c>
      <c r="C27" t="inlineStr">
        <is>
          <t>2026-09-17</t>
        </is>
      </c>
      <c r="D27" t="inlineStr">
        <is>
          <t>SRC001</t>
        </is>
      </c>
      <c r="E27" t="inlineStr">
        <is>
          <t>Deeptech深科技</t>
        </is>
      </c>
      <c r="F27" t="inlineStr">
        <is>
          <t>OpenAI前高管用Kimi训出万亿参数模型，部分能力超GPT-6，已接入材料实验室</t>
        </is>
      </c>
      <c r="G27" t="inlineStr">
        <is>
          <t>https://www.mittrchina.com/news/detail/16962</t>
        </is>
      </c>
      <c r="H27" t="inlineStr">
        <is>
          <t>AI垂直类</t>
        </is>
      </c>
      <c r="I27" t="inlineStr">
        <is>
          <t>T-IND-001</t>
        </is>
      </c>
      <c r="J27" t="inlineStr">
        <is>
          <t>行业</t>
        </is>
      </c>
      <c r="K27" t="n">
        <v>4</v>
      </c>
      <c r="L27" t="inlineStr">
        <is>
          <t>要点待人工补充</t>
        </is>
      </c>
      <c r="Q27" t="inlineStr">
        <is>
          <t>近日，一家由OpenAI和GoogleDeepMind前研究人员创办的公司公布了过去一年的多项进展。…</t>
        </is>
      </c>
      <c r="R27" t="inlineStr">
        <is>
          <t>自动抓取条目；下钻原文并人工核对归属公司与口径。</t>
        </is>
      </c>
      <c r="S27" t="inlineStr">
        <is>
          <t>全文已缓存</t>
        </is>
      </c>
      <c r="U27" t="inlineStr">
        <is>
          <t>自动爬取·待人工复核</t>
        </is>
      </c>
    </row>
    <row r="28">
      <c r="A28" t="inlineStr">
        <is>
          <t>INT-20260917-039</t>
        </is>
      </c>
      <c r="B28" t="inlineStr">
        <is>
          <t>2026-09-17</t>
        </is>
      </c>
      <c r="C28" t="inlineStr">
        <is>
          <t>2026-09-17</t>
        </is>
      </c>
      <c r="D28" t="inlineStr">
        <is>
          <t>SRC001</t>
        </is>
      </c>
      <c r="E28" t="inlineStr">
        <is>
          <t>Deeptech深科技</t>
        </is>
      </c>
      <c r="F28" t="inlineStr">
        <is>
          <t>拒绝OpenAI和Anthropic邀约，DeepMind安全研究员离职转向独立测评</t>
        </is>
      </c>
      <c r="G28" t="inlineStr">
        <is>
          <t>https://www.mittrchina.com/news/detail/16961</t>
        </is>
      </c>
      <c r="H28" t="inlineStr">
        <is>
          <t>AI垂直类</t>
        </is>
      </c>
      <c r="I28" t="inlineStr">
        <is>
          <t>T-IND-001</t>
        </is>
      </c>
      <c r="J28" t="inlineStr">
        <is>
          <t>行业</t>
        </is>
      </c>
      <c r="K28" t="n">
        <v>4</v>
      </c>
      <c r="L28" t="inlineStr">
        <is>
          <t>要点待人工补充</t>
        </is>
      </c>
      <c r="Q28" t="inlineStr">
        <is>
          <t>如果AI真能不断创造更强的自己，人类还能驾驭它吗？…</t>
        </is>
      </c>
      <c r="R28" t="inlineStr">
        <is>
          <t>自动抓取条目；下钻原文并人工核对归属公司与口径。</t>
        </is>
      </c>
      <c r="S28" t="inlineStr">
        <is>
          <t>全文已缓存</t>
        </is>
      </c>
      <c r="U28" t="inlineStr">
        <is>
          <t>自动爬取·待人工复核</t>
        </is>
      </c>
    </row>
    <row r="29">
      <c r="A29" t="inlineStr">
        <is>
          <t>INT-20260917-040</t>
        </is>
      </c>
      <c r="B29" t="inlineStr">
        <is>
          <t>2026-09-17</t>
        </is>
      </c>
      <c r="C29" t="inlineStr">
        <is>
          <t>2026-09-17</t>
        </is>
      </c>
      <c r="D29" t="inlineStr">
        <is>
          <t>SRC001</t>
        </is>
      </c>
      <c r="E29" t="inlineStr">
        <is>
          <t>Deeptech深科技</t>
        </is>
      </c>
      <c r="F29" t="inlineStr">
        <is>
          <t>深度｜AI开始接管物理世界，谁来掌握新的入口？</t>
        </is>
      </c>
      <c r="G29" t="inlineStr">
        <is>
          <t>https://www.mittrchina.com/news/detail/16960</t>
        </is>
      </c>
      <c r="H29" t="inlineStr">
        <is>
          <t>AI垂直类</t>
        </is>
      </c>
      <c r="I29" t="inlineStr">
        <is>
          <t>T-IND-001</t>
        </is>
      </c>
      <c r="J29" t="inlineStr">
        <is>
          <t>行业</t>
        </is>
      </c>
      <c r="K29" t="n">
        <v>3</v>
      </c>
      <c r="L29" t="inlineStr">
        <is>
          <t>要点待人工补充</t>
        </is>
      </c>
      <c r="Q29" t="inlineStr">
        <is>
          <t>过去几年，AI越来越深入地参与文献阅读、结构预测、分子设计、数据分析和实验方案生成，但绝大多数工作依然停留在屏幕之内。模型提出假设后，验证环节仍要由研究人员继续完成：把方案转成SOP，操作设备、等待结果，再将整理后的数据…</t>
        </is>
      </c>
      <c r="R29" t="inlineStr">
        <is>
          <t>自动抓取条目；下钻原文并人工核对归属公司与口径。</t>
        </is>
      </c>
      <c r="S29" t="inlineStr">
        <is>
          <t>全文已缓存</t>
        </is>
      </c>
      <c r="U29" t="inlineStr">
        <is>
          <t>自动爬取·待人工复核</t>
        </is>
      </c>
    </row>
    <row r="30">
      <c r="A30" t="inlineStr">
        <is>
          <t>INT-20260917-041</t>
        </is>
      </c>
      <c r="B30" t="inlineStr">
        <is>
          <t>2026-09-17</t>
        </is>
      </c>
      <c r="C30" t="inlineStr">
        <is>
          <t>2026-09-17</t>
        </is>
      </c>
      <c r="D30" t="inlineStr">
        <is>
          <t>SRC004</t>
        </is>
      </c>
      <c r="E30" t="inlineStr">
        <is>
          <t>虎嗅</t>
        </is>
      </c>
      <c r="F30" t="inlineStr">
        <is>
          <t>美国AI减速论暗战背后，又为中国设下“鸿门宴”</t>
        </is>
      </c>
      <c r="G30" t="inlineStr">
        <is>
          <t>https://m.huxiu.com/article/4891978.html</t>
        </is>
      </c>
      <c r="H30" t="inlineStr">
        <is>
          <t>AI垂直类</t>
        </is>
      </c>
      <c r="I30" t="inlineStr">
        <is>
          <t>T-IND-001</t>
        </is>
      </c>
      <c r="J30" t="inlineStr">
        <is>
          <t>行业</t>
        </is>
      </c>
      <c r="K30" t="n">
        <v>3</v>
      </c>
      <c r="L30" t="inlineStr">
        <is>
          <t>又为中国设下“鸿门宴”-虎嗅网2026-09-1714:49美国AI减速论暗战背后</t>
        </is>
      </c>
      <c r="M30" t="inlineStr">
        <is>
          <t>作者：李煜华9月12日</t>
        </is>
      </c>
      <c r="Q30" t="inlineStr">
        <is>
          <t>美国AI减速论暗战背后，又为中国设下“鸿门宴”-虎嗅网2026-09-1714:49美国AI减速论暗战背后，又为中国设下“鸿门宴”底线思维©速览本文来自微信公众号：底线思维，作者：李煜华9月12日，美国人工智能圈突然出现…</t>
        </is>
      </c>
      <c r="R30" t="inlineStr">
        <is>
          <t>自动抓取条目；下钻原文并人工核对归属公司与口径。</t>
        </is>
      </c>
      <c r="S30" t="inlineStr">
        <is>
          <t>全文已缓存</t>
        </is>
      </c>
      <c r="U30" t="inlineStr">
        <is>
          <t>自动爬取·待人工复核</t>
        </is>
      </c>
    </row>
    <row r="31">
      <c r="A31" t="inlineStr">
        <is>
          <t>INT-20260917-042</t>
        </is>
      </c>
      <c r="B31" t="inlineStr">
        <is>
          <t>2026-09-17</t>
        </is>
      </c>
      <c r="C31" t="inlineStr">
        <is>
          <t>2026-09-17</t>
        </is>
      </c>
      <c r="D31" t="inlineStr">
        <is>
          <t>SRC002</t>
        </is>
      </c>
      <c r="E31" t="inlineStr">
        <is>
          <t>量子位</t>
        </is>
      </c>
      <c r="F31" t="inlineStr">
        <is>
          <t>AI大模型工场2026 AI产业生态大会今日举办，大咖同台共探智能生长与产业共生 – 量子位</t>
        </is>
      </c>
      <c r="G31" t="inlineStr">
        <is>
          <t>https://www.qbitai.com/2026/09/490760.html</t>
        </is>
      </c>
      <c r="H31" t="inlineStr">
        <is>
          <t>AI垂直类</t>
        </is>
      </c>
      <c r="I31" t="inlineStr">
        <is>
          <t>T-IND-001</t>
        </is>
      </c>
      <c r="J31" t="inlineStr">
        <is>
          <t>行业</t>
        </is>
      </c>
      <c r="K31" t="n">
        <v>3</v>
      </c>
      <c r="L31" t="inlineStr">
        <is>
          <t>AI大模型工场2026AI产业生态大会今日举办</t>
        </is>
      </c>
      <c r="M31" t="inlineStr">
        <is>
          <t>库活动MEET大会AIGC扫码关注量子位--&gt;AI大模型工场2026AI产业生态大会今日举办</t>
        </is>
      </c>
      <c r="N31" t="inlineStr">
        <is>
          <t>大咖同台共探智能生长与产业共生量子位的朋友们2026-09-1616:51:02来源：量子位9月15日</t>
        </is>
      </c>
      <c r="Q31" t="inlineStr">
        <is>
          <t>AI大模型工场2026AI产业生态大会今日举办，大咖同台共探智能生长与产业共生–量子位首页资讯智能车智库活动MEET大会AIGC扫码关注量子位--&gt;AI大模型工场2026AI产业生态大会今日举办，大咖同台共探智能生长与产…</t>
        </is>
      </c>
      <c r="R31" t="inlineStr">
        <is>
          <t>自动抓取条目；下钻原文并人工核对归属公司与口径。</t>
        </is>
      </c>
      <c r="S31" t="inlineStr">
        <is>
          <t>全文已缓存</t>
        </is>
      </c>
      <c r="U31" t="inlineStr">
        <is>
          <t>自动爬取·待人工复核</t>
        </is>
      </c>
    </row>
    <row r="32">
      <c r="A32" t="inlineStr">
        <is>
          <t>INT-20260917-043</t>
        </is>
      </c>
      <c r="B32" t="inlineStr">
        <is>
          <t>2026-09-17</t>
        </is>
      </c>
      <c r="C32" t="inlineStr">
        <is>
          <t>2026-09-17</t>
        </is>
      </c>
      <c r="D32" t="inlineStr">
        <is>
          <t>SRC002</t>
        </is>
      </c>
      <c r="E32" t="inlineStr">
        <is>
          <t>量子位</t>
        </is>
      </c>
      <c r="F32" t="inlineStr">
        <is>
          <t>高通技术公司携手中兴努比亚和豆包手机助手，共同推动智能手机迈入个人AI新时代 – 量子位</t>
        </is>
      </c>
      <c r="G32" t="inlineStr">
        <is>
          <t>https://www.qbitai.com/2026/09/490756.html</t>
        </is>
      </c>
      <c r="H32" t="inlineStr">
        <is>
          <t>AI垂直类</t>
        </is>
      </c>
      <c r="I32" t="inlineStr">
        <is>
          <t>T-IND-001</t>
        </is>
      </c>
      <c r="J32" t="inlineStr">
        <is>
          <t>行业</t>
        </is>
      </c>
      <c r="K32" t="n">
        <v>3</v>
      </c>
      <c r="L32" t="inlineStr">
        <is>
          <t>共同推动智能手机迈入个人AI新时代量子位的朋友们2026-09-1616:18:44来源：量子位第五代</t>
        </is>
      </c>
      <c r="M32" t="inlineStr">
        <is>
          <t>骁龙8至尊版赋能全新AI智能体手机努比亚Nav</t>
        </is>
      </c>
      <c r="N32" t="inlineStr">
        <is>
          <t>加速智能体体验规模化落地要点：第五代骁龙8至尊版凭借领先性能</t>
        </is>
      </c>
      <c r="Q32" t="inlineStr">
        <is>
          <t>高通技术公司携手中兴努比亚和豆包手机助手，共同推动智能手机迈入个人AI新时代–量子位首页资讯智能车智库活动MEET大会AIGC扫码关注量子位--&gt;高通技术公司携手中兴努比亚和豆包手机助手，共同推动智能手机迈入个人AI新时…</t>
        </is>
      </c>
      <c r="R32" t="inlineStr">
        <is>
          <t>自动抓取条目；下钻原文并人工核对归属公司与口径。</t>
        </is>
      </c>
      <c r="S32" t="inlineStr">
        <is>
          <t>全文已缓存</t>
        </is>
      </c>
      <c r="U32" t="inlineStr">
        <is>
          <t>自动爬取·待人工复核</t>
        </is>
      </c>
    </row>
    <row r="33">
      <c r="A33" t="inlineStr">
        <is>
          <t>INT-20260917-044</t>
        </is>
      </c>
      <c r="B33" t="inlineStr">
        <is>
          <t>2026-09-17</t>
        </is>
      </c>
      <c r="C33" t="inlineStr">
        <is>
          <t>2026-09-17</t>
        </is>
      </c>
      <c r="D33" t="inlineStr">
        <is>
          <t>SRC002</t>
        </is>
      </c>
      <c r="E33" t="inlineStr">
        <is>
          <t>量子位</t>
        </is>
      </c>
      <c r="F33" t="inlineStr">
        <is>
          <t>B站AI无限竞技场今日上线！全球百大AI模型同场竞技，GPT-6高居榜首 – 量子位</t>
        </is>
      </c>
      <c r="G33" t="inlineStr">
        <is>
          <t>https://www.qbitai.com/2026/09/490396.html</t>
        </is>
      </c>
      <c r="H33" t="inlineStr">
        <is>
          <t>AI垂直类</t>
        </is>
      </c>
      <c r="I33" t="inlineStr">
        <is>
          <t>T-IND-001</t>
        </is>
      </c>
      <c r="J33" t="inlineStr">
        <is>
          <t>行业</t>
        </is>
      </c>
      <c r="K33" t="n">
        <v>3</v>
      </c>
      <c r="L33" t="inlineStr">
        <is>
          <t>GPT-6高居榜首–量子位首页资讯智能车智库活动M</t>
        </is>
      </c>
      <c r="M33" t="inlineStr">
        <is>
          <t>GPT-6高居榜首量子位的朋友们2026-09-1614:23:05来源：量子位9月16日</t>
        </is>
      </c>
      <c r="N33" t="inlineStr">
        <is>
          <t>#B站AI无限竞技场#9月16日</t>
        </is>
      </c>
      <c r="Q33" t="inlineStr">
        <is>
          <t>B站AI无限竞技场今日上线！全球百大AI模型同场竞技，GPT-6高居榜首–量子位首页资讯智能车智库活动MEET大会AIGC扫码关注量子位--&gt;B站AI无限竞技场今日上线！全球百大AI模型同场竞技，GPT-6高居榜首量子位…</t>
        </is>
      </c>
      <c r="R33" t="inlineStr">
        <is>
          <t>自动抓取条目；下钻原文并人工核对归属公司与口径。</t>
        </is>
      </c>
      <c r="S33" t="inlineStr">
        <is>
          <t>全文已缓存</t>
        </is>
      </c>
      <c r="U33" t="inlineStr">
        <is>
          <t>自动爬取·待人工复核</t>
        </is>
      </c>
    </row>
    <row r="34">
      <c r="A34" t="inlineStr">
        <is>
          <t>INT-20260917-045</t>
        </is>
      </c>
      <c r="B34" t="inlineStr">
        <is>
          <t>2026-09-17</t>
        </is>
      </c>
      <c r="C34" t="inlineStr">
        <is>
          <t>2026-09-17</t>
        </is>
      </c>
      <c r="D34" t="inlineStr">
        <is>
          <t>SRC002</t>
        </is>
      </c>
      <c r="E34" t="inlineStr">
        <is>
          <t>量子位</t>
        </is>
      </c>
      <c r="F34" t="inlineStr">
        <is>
          <t>华为GTS让Agent学会「看着网络排障」，双防火墙难题几乎全拿下 – 量子位</t>
        </is>
      </c>
      <c r="G34" t="inlineStr">
        <is>
          <t>https://www.qbitai.com/2026/09/490098.html</t>
        </is>
      </c>
      <c r="H34" t="inlineStr">
        <is>
          <t>AI垂直类</t>
        </is>
      </c>
      <c r="I34" t="inlineStr">
        <is>
          <t>T-IND-001</t>
        </is>
      </c>
      <c r="J34" t="inlineStr">
        <is>
          <t>行业</t>
        </is>
      </c>
      <c r="K34" t="n">
        <v>3</v>
      </c>
      <c r="L34" t="inlineStr">
        <is>
          <t>双防火墙难题几乎全拿下思邈2026-09-1610:27:20来源：量子位任务通过率提升24.2%</t>
        </is>
      </c>
      <c r="M34" t="inlineStr">
        <is>
          <t>token成本最高下降45%允中发自凹非寺量子位|公众号QbitAI</t>
        </is>
      </c>
      <c r="Q34" t="inlineStr">
        <is>
          <t>华为GTS让Agent学会「看着网络排障」，双防火墙难题几乎全拿下–量子位首页资讯智能车智库活动MEET大会AIGC扫码关注量子位--&gt;华为GTS让Agent学会「看着网络排障」，双防火墙难题几乎全拿下思邈2026-09…</t>
        </is>
      </c>
      <c r="R34" t="inlineStr">
        <is>
          <t>自动抓取条目；下钻原文并人工核对归属公司与口径。</t>
        </is>
      </c>
      <c r="S34" t="inlineStr">
        <is>
          <t>全文已缓存</t>
        </is>
      </c>
      <c r="U34" t="inlineStr">
        <is>
          <t>自动爬取·待人工复核</t>
        </is>
      </c>
    </row>
    <row r="35">
      <c r="A35" t="inlineStr">
        <is>
          <t>INT-20260917-046</t>
        </is>
      </c>
      <c r="B35" t="inlineStr">
        <is>
          <t>2026-09-17</t>
        </is>
      </c>
      <c r="C35" t="inlineStr">
        <is>
          <t>2026-09-17</t>
        </is>
      </c>
      <c r="D35" t="inlineStr">
        <is>
          <t>SRC002</t>
        </is>
      </c>
      <c r="E35" t="inlineStr">
        <is>
          <t>量子位</t>
        </is>
      </c>
      <c r="F35" t="inlineStr">
        <is>
          <t>梁文锋CFO到位！投过智谱MiniMax – 量子位</t>
        </is>
      </c>
      <c r="G35" t="inlineStr">
        <is>
          <t>https://www.qbitai.com/2026/09/489707.html</t>
        </is>
      </c>
      <c r="H35" t="inlineStr">
        <is>
          <t>AI垂直类</t>
        </is>
      </c>
      <c r="I35" t="inlineStr">
        <is>
          <t>T-IND-001</t>
        </is>
      </c>
      <c r="J35" t="inlineStr">
        <is>
          <t>行业</t>
        </is>
      </c>
      <c r="K35" t="n">
        <v>4</v>
      </c>
      <c r="L35" t="inlineStr">
        <is>
          <t>注量子位--&gt;梁文锋CFO到位！投过智谱MiniMaxJay2026-09-1521:53:39来源：量子位</t>
        </is>
      </c>
      <c r="M35" t="inlineStr">
        <is>
          <t>咋还在《21世纪经济报道》当过记者啊？？非常有意思的</t>
        </is>
      </c>
      <c r="N35" t="inlineStr">
        <is>
          <t>其实早在2025年2月</t>
        </is>
      </c>
      <c r="Q35" t="inlineStr">
        <is>
          <t>梁文锋CFO到位！投过智谱MiniMax–量子位首页资讯智能车智库活动MEET大会AIGC扫码关注量子位--&gt;梁文锋CFO到位！投过智谱MiniMaxJay2026-09-1521:53:39来源：量子位严文韬，1991…</t>
        </is>
      </c>
      <c r="R35" t="inlineStr">
        <is>
          <t>自动抓取条目；下钻原文并人工核对归属公司与口径。</t>
        </is>
      </c>
      <c r="S35" t="inlineStr">
        <is>
          <t>全文已缓存</t>
        </is>
      </c>
      <c r="U35" t="inlineStr">
        <is>
          <t>自动爬取·待人工复核</t>
        </is>
      </c>
    </row>
    <row r="36">
      <c r="A36" t="inlineStr">
        <is>
          <t>INT-20260917-047</t>
        </is>
      </c>
      <c r="B36" t="inlineStr">
        <is>
          <t>1789467895</t>
        </is>
      </c>
      <c r="C36" t="inlineStr">
        <is>
          <t>2026-09-17</t>
        </is>
      </c>
      <c r="D36" t="inlineStr">
        <is>
          <t>SRC001</t>
        </is>
      </c>
      <c r="E36" t="inlineStr">
        <is>
          <t>Deeptech深科技</t>
        </is>
      </c>
      <c r="F36" t="inlineStr">
        <is>
          <t>9个月，不足百人参与，OpenAI如何用自己的AI造出首款芯片</t>
        </is>
      </c>
      <c r="G36" t="inlineStr">
        <is>
          <t>https://www.mittrchina.com/news/detail/16956</t>
        </is>
      </c>
      <c r="H36" t="inlineStr">
        <is>
          <t>AI垂直类</t>
        </is>
      </c>
      <c r="I36" t="inlineStr">
        <is>
          <t>T-IND-001</t>
        </is>
      </c>
      <c r="J36" t="inlineStr">
        <is>
          <t>行业</t>
        </is>
      </c>
      <c r="K36" t="n">
        <v>4</v>
      </c>
      <c r="L36" t="inlineStr">
        <is>
          <t>项目用了9个月</t>
        </is>
      </c>
      <c r="Q36" t="inlineStr">
        <is>
          <t>8月25日，OpenAI公布了首款自研推理芯片Jalapeño的性能测试结果。这块芯片被设计用来运行AI大语言模型，而在研发过程中，OpenAI也用上了自己的模型。从初始设计到交付制造，项目用了9个月。…</t>
        </is>
      </c>
      <c r="R36" t="inlineStr">
        <is>
          <t>自动抓取条目；下钻原文并人工核对归属公司与口径。</t>
        </is>
      </c>
      <c r="S36" t="inlineStr">
        <is>
          <t>全文已缓存</t>
        </is>
      </c>
      <c r="U36" t="inlineStr">
        <is>
          <t>自动爬取·待人工复核</t>
        </is>
      </c>
    </row>
    <row r="37">
      <c r="A37" t="inlineStr">
        <is>
          <t>INT-20260917-048</t>
        </is>
      </c>
      <c r="B37" t="inlineStr">
        <is>
          <t>1789461329</t>
        </is>
      </c>
      <c r="C37" t="inlineStr">
        <is>
          <t>2026-09-17</t>
        </is>
      </c>
      <c r="D37" t="inlineStr">
        <is>
          <t>SRC001</t>
        </is>
      </c>
      <c r="E37" t="inlineStr">
        <is>
          <t>Deeptech深科技</t>
        </is>
      </c>
      <c r="F37" t="inlineStr">
        <is>
          <t>黄仁勋回应AI减速论：我们已接近AGI，部分领域进入超级智能，但别因恐惧踩刹车</t>
        </is>
      </c>
      <c r="G37" t="inlineStr">
        <is>
          <t>https://www.mittrchina.com/news/detail/16955</t>
        </is>
      </c>
      <c r="H37" t="inlineStr">
        <is>
          <t>AI垂直类</t>
        </is>
      </c>
      <c r="I37" t="inlineStr">
        <is>
          <t>T-IND-001</t>
        </is>
      </c>
      <c r="J37" t="inlineStr">
        <is>
          <t>行业</t>
        </is>
      </c>
      <c r="K37" t="n">
        <v>3</v>
      </c>
      <c r="L37" t="inlineStr">
        <is>
          <t>要点待人工补充</t>
        </is>
      </c>
      <c r="Q37" t="inlineStr">
        <is>
          <t>最近，AI行业开始重新讨论一个问题：是不是该慢一点了。…</t>
        </is>
      </c>
      <c r="R37" t="inlineStr">
        <is>
          <t>自动抓取条目；下钻原文并人工核对归属公司与口径。</t>
        </is>
      </c>
      <c r="S37" t="inlineStr">
        <is>
          <t>全文已缓存</t>
        </is>
      </c>
      <c r="U37" t="inlineStr">
        <is>
          <t>自动爬取·待人工复核</t>
        </is>
      </c>
    </row>
    <row r="38">
      <c r="A38" t="inlineStr">
        <is>
          <t>INT-20260917-049</t>
        </is>
      </c>
      <c r="B38" t="inlineStr">
        <is>
          <t>1789460296</t>
        </is>
      </c>
      <c r="C38" t="inlineStr">
        <is>
          <t>2026-09-17</t>
        </is>
      </c>
      <c r="D38" t="inlineStr">
        <is>
          <t>SRC001</t>
        </is>
      </c>
      <c r="E38" t="inlineStr">
        <is>
          <t>Deeptech深科技</t>
        </is>
      </c>
      <c r="F38" t="inlineStr">
        <is>
          <t>完成过亿融资，复旦博士要为不同端侧场景定制专属推理芯片丨对话淬思科技潘鸿洋</t>
        </is>
      </c>
      <c r="G38" t="inlineStr">
        <is>
          <t>https://www.mittrchina.com/news/detail/16954</t>
        </is>
      </c>
      <c r="H38" t="inlineStr">
        <is>
          <t>AI垂直类</t>
        </is>
      </c>
      <c r="I38" t="inlineStr">
        <is>
          <t>T-IND-001</t>
        </is>
      </c>
      <c r="J38" t="inlineStr">
        <is>
          <t>行业</t>
        </is>
      </c>
      <c r="K38" t="n">
        <v>3</v>
      </c>
      <c r="L38" t="inlineStr">
        <is>
          <t>要点待人工补充</t>
        </is>
      </c>
      <c r="Q38" t="inlineStr">
        <is>
          <t>物理AI和端侧推理，是潘鸿洋创办TraceIntelligence（淬思科技）之初思考最多的两个关键词。2025年，还在读博士的潘鸿洋创办了AIEDA公司复芯智感，尝试把物理感知逻辑综合的研究转化为商业产品，缩短芯片设计…</t>
        </is>
      </c>
      <c r="R38" t="inlineStr">
        <is>
          <t>自动抓取条目；下钻原文并人工核对归属公司与口径。</t>
        </is>
      </c>
      <c r="S38" t="inlineStr">
        <is>
          <t>全文已缓存</t>
        </is>
      </c>
      <c r="U38" t="inlineStr">
        <is>
          <t>自动爬取·待人工复核</t>
        </is>
      </c>
    </row>
    <row r="39">
      <c r="A39" t="inlineStr">
        <is>
          <t>INT-20260917-050</t>
        </is>
      </c>
      <c r="B39" t="inlineStr">
        <is>
          <t>1789374029</t>
        </is>
      </c>
      <c r="C39" t="inlineStr">
        <is>
          <t>2026-09-17</t>
        </is>
      </c>
      <c r="D39" t="inlineStr">
        <is>
          <t>SRC001</t>
        </is>
      </c>
      <c r="E39" t="inlineStr">
        <is>
          <t>Deeptech深科技</t>
        </is>
      </c>
      <c r="F39" t="inlineStr">
        <is>
          <t>中国科学家打造“荀子AI”，找到了两个帕金森病靶点，小鼠用药后重新跑起来</t>
        </is>
      </c>
      <c r="G39" t="inlineStr">
        <is>
          <t>https://www.mittrchina.com/news/detail/16948</t>
        </is>
      </c>
      <c r="H39" t="inlineStr">
        <is>
          <t>AI垂直类</t>
        </is>
      </c>
      <c r="I39" t="inlineStr">
        <is>
          <t>T-IND-001</t>
        </is>
      </c>
      <c r="J39" t="inlineStr">
        <is>
          <t>行业</t>
        </is>
      </c>
      <c r="K39" t="n">
        <v>3</v>
      </c>
      <c r="L39" t="inlineStr">
        <is>
          <t>在阅读约2,440万篇论文</t>
        </is>
      </c>
      <c r="M39" t="inlineStr">
        <is>
          <t>以及分析613.6TB的多组学数据之后</t>
        </is>
      </c>
      <c r="Q39" t="inlineStr">
        <is>
          <t>最近，四川大学与华中科技大学团队合作开发了一个名为“荀子”的AI系统，在阅读约2,440万篇论文、以及分析613.6TB的多组学数据之后，锁定了两个可能与帕金森病有关的蛋白质靶点，相关论文发布于NatureBiomedi…</t>
        </is>
      </c>
      <c r="R39" t="inlineStr">
        <is>
          <t>自动抓取条目；下钻原文并人工核对归属公司与口径。</t>
        </is>
      </c>
      <c r="S39" t="inlineStr">
        <is>
          <t>全文已缓存</t>
        </is>
      </c>
      <c r="U39" t="inlineStr">
        <is>
          <t>自动爬取·待人工复核</t>
        </is>
      </c>
    </row>
    <row r="40">
      <c r="A40" t="inlineStr">
        <is>
          <t>INT-20260917-051</t>
        </is>
      </c>
      <c r="B40" t="inlineStr">
        <is>
          <t>1789295818</t>
        </is>
      </c>
      <c r="C40" t="inlineStr">
        <is>
          <t>2026-09-17</t>
        </is>
      </c>
      <c r="D40" t="inlineStr">
        <is>
          <t>SRC001</t>
        </is>
      </c>
      <c r="E40" t="inlineStr">
        <is>
          <t>Deeptech深科技</t>
        </is>
      </c>
      <c r="F40" t="inlineStr">
        <is>
          <t>让野生猴子自愿用上AI，科学家想借AI工具重塑灵长类认知研究</t>
        </is>
      </c>
      <c r="G40" t="inlineStr">
        <is>
          <t>https://www.mittrchina.com/news/detail/16946</t>
        </is>
      </c>
      <c r="H40" t="inlineStr">
        <is>
          <t>AI垂直类</t>
        </is>
      </c>
      <c r="I40" t="inlineStr">
        <is>
          <t>T-IND-001</t>
        </is>
      </c>
      <c r="J40" t="inlineStr">
        <is>
          <t>行业</t>
        </is>
      </c>
      <c r="K40" t="n">
        <v>3</v>
      </c>
      <c r="L40" t="inlineStr">
        <is>
          <t>要点待人工补充</t>
        </is>
      </c>
      <c r="Q40" t="inlineStr">
        <is>
          <t>为了更好地研究野生动物，科学家正在让它们通过AI“刷脸”领香蕉。…</t>
        </is>
      </c>
      <c r="R40" t="inlineStr">
        <is>
          <t>自动抓取条目；下钻原文并人工核对归属公司与口径。</t>
        </is>
      </c>
      <c r="S40" t="inlineStr">
        <is>
          <t>全文已缓存</t>
        </is>
      </c>
      <c r="U40" t="inlineStr">
        <is>
          <t>自动爬取·待人工复核</t>
        </is>
      </c>
    </row>
    <row r="41">
      <c r="A41" t="inlineStr">
        <is>
          <t>INT-20260917-052</t>
        </is>
      </c>
      <c r="B41" t="inlineStr">
        <is>
          <t>1789279803</t>
        </is>
      </c>
      <c r="C41" t="inlineStr">
        <is>
          <t>2026-09-17</t>
        </is>
      </c>
      <c r="D41" t="inlineStr">
        <is>
          <t>SRC001</t>
        </is>
      </c>
      <c r="E41" t="inlineStr">
        <is>
          <t>Deeptech深科技</t>
        </is>
      </c>
      <c r="F41" t="inlineStr">
        <is>
          <t>Anthropic称要放缓RSI进度，OpenAI与马斯克罕见附和</t>
        </is>
      </c>
      <c r="G41" t="inlineStr">
        <is>
          <t>https://www.mittrchina.com/news/detail/16944</t>
        </is>
      </c>
      <c r="H41" t="inlineStr">
        <is>
          <t>AI垂直类</t>
        </is>
      </c>
      <c r="I41" t="inlineStr">
        <is>
          <t>T-IND-001</t>
        </is>
      </c>
      <c r="J41" t="inlineStr">
        <is>
          <t>行业</t>
        </is>
      </c>
      <c r="K41" t="n">
        <v>4</v>
      </c>
      <c r="L41" t="inlineStr">
        <is>
          <t>要点待人工补充</t>
        </is>
      </c>
      <c r="Q41" t="inlineStr">
        <is>
          <t>9月12日，人工智能公司AnthropicCEO达里奥·阿莫迪（DarioAmodei）发表题为《我们必须放缓前沿的步伐》（WeMustPacetheFrontier）的长文，呼吁行业应主动放缓AI能力提升的速度，目的是…</t>
        </is>
      </c>
      <c r="R41" t="inlineStr">
        <is>
          <t>自动抓取条目；下钻原文并人工核对归属公司与口径。</t>
        </is>
      </c>
      <c r="S41" t="inlineStr">
        <is>
          <t>全文已缓存</t>
        </is>
      </c>
      <c r="U41" t="inlineStr">
        <is>
          <t>自动爬取·待人工复核</t>
        </is>
      </c>
    </row>
    <row r="42">
      <c r="A42" t="inlineStr">
        <is>
          <t>INT-20260917-053</t>
        </is>
      </c>
      <c r="B42" t="inlineStr">
        <is>
          <t>1789181309</t>
        </is>
      </c>
      <c r="C42" t="inlineStr">
        <is>
          <t>2026-09-17</t>
        </is>
      </c>
      <c r="D42" t="inlineStr">
        <is>
          <t>SRC001</t>
        </is>
      </c>
      <c r="E42" t="inlineStr">
        <is>
          <t>Deeptech深科技</t>
        </is>
      </c>
      <c r="F42" t="inlineStr">
        <is>
          <t>陶哲轩、邓煜等25位菲尔兹奖得主联合警告：AI公司正在把数学变成一场速度竞赛</t>
        </is>
      </c>
      <c r="G42" t="inlineStr">
        <is>
          <t>https://www.mittrchina.com/news/detail/16940</t>
        </is>
      </c>
      <c r="H42" t="inlineStr">
        <is>
          <t>AI垂直类</t>
        </is>
      </c>
      <c r="I42" t="inlineStr">
        <is>
          <t>T-IND-001</t>
        </is>
      </c>
      <c r="J42" t="inlineStr">
        <is>
          <t>行业</t>
        </is>
      </c>
      <c r="K42" t="n">
        <v>3</v>
      </c>
      <c r="L42" t="inlineStr">
        <is>
          <t>邓煜等25位菲尔兹奖得主共同发布了一份题为《数学领</t>
        </is>
      </c>
      <c r="Q42" t="inlineStr">
        <is>
          <t>今天，陶哲轩、邓煜等25位菲尔兹奖得主共同发布了一份题为《数学领域中人工智能的严重失衡》（ASevereMisalignmentofAIinMathematics）的联合声明。…</t>
        </is>
      </c>
      <c r="R42" t="inlineStr">
        <is>
          <t>自动抓取条目；下钻原文并人工核对归属公司与口径。</t>
        </is>
      </c>
      <c r="S42" t="inlineStr">
        <is>
          <t>全文已缓存</t>
        </is>
      </c>
      <c r="U42" t="inlineStr">
        <is>
          <t>自动爬取·待人工复核</t>
        </is>
      </c>
    </row>
    <row r="43">
      <c r="A43" t="inlineStr">
        <is>
          <t>INT-20260917-054</t>
        </is>
      </c>
      <c r="B43" t="inlineStr">
        <is>
          <t>1789132108</t>
        </is>
      </c>
      <c r="C43" t="inlineStr">
        <is>
          <t>2026-09-17</t>
        </is>
      </c>
      <c r="D43" t="inlineStr">
        <is>
          <t>SRC001</t>
        </is>
      </c>
      <c r="E43" t="inlineStr">
        <is>
          <t>Deeptech深科技</t>
        </is>
      </c>
      <c r="F43" t="inlineStr">
        <is>
          <t>他们让晶体管开关越过60毫伏物理红线，芯片功耗迎来新解法</t>
        </is>
      </c>
      <c r="G43" t="inlineStr">
        <is>
          <t>https://www.mittrchina.com/news/detail/16938</t>
        </is>
      </c>
      <c r="H43" t="inlineStr">
        <is>
          <t>AI垂直类</t>
        </is>
      </c>
      <c r="I43" t="inlineStr">
        <is>
          <t>T-IND-001</t>
        </is>
      </c>
      <c r="J43" t="inlineStr">
        <is>
          <t>行业</t>
        </is>
      </c>
      <c r="K43" t="n">
        <v>3</v>
      </c>
      <c r="L43" t="inlineStr">
        <is>
          <t>对于“60”这个数字来说</t>
        </is>
      </c>
      <c r="Q43" t="inlineStr">
        <is>
          <t>对于“60”这个数字来说，曾经是悬挂在整个芯片产业头顶的达摩克利斯之剑。在芯片上晶体管集成度已经突破千亿级别的今天，每当降低一伏特电压、每当减少一毫瓦功耗，人类都要与一个名叫“玻尔兹曼极限”的物理铁律进行殊死搏斗。…</t>
        </is>
      </c>
      <c r="R43" t="inlineStr">
        <is>
          <t>自动抓取条目；下钻原文并人工核对归属公司与口径。</t>
        </is>
      </c>
      <c r="S43" t="inlineStr">
        <is>
          <t>全文已缓存</t>
        </is>
      </c>
      <c r="U43" t="inlineStr">
        <is>
          <t>自动爬取·待人工复核</t>
        </is>
      </c>
    </row>
    <row r="44">
      <c r="A44" t="inlineStr">
        <is>
          <t>INT-20260917-055</t>
        </is>
      </c>
      <c r="B44" t="inlineStr">
        <is>
          <t>1789103748</t>
        </is>
      </c>
      <c r="C44" t="inlineStr">
        <is>
          <t>2026-09-17</t>
        </is>
      </c>
      <c r="D44" t="inlineStr">
        <is>
          <t>SRC001</t>
        </is>
      </c>
      <c r="E44" t="inlineStr">
        <is>
          <t>Deeptech深科技</t>
        </is>
      </c>
      <c r="F44" t="inlineStr">
        <is>
          <t>豆包也有Agent了，免费上岗一个月，这次你真的可以早点下班</t>
        </is>
      </c>
      <c r="G44" t="inlineStr">
        <is>
          <t>https://www.mittrchina.com/news/detail/16936</t>
        </is>
      </c>
      <c r="H44" t="inlineStr">
        <is>
          <t>AI垂直类</t>
        </is>
      </c>
      <c r="I44" t="inlineStr">
        <is>
          <t>T-IND-001</t>
        </is>
      </c>
      <c r="J44" t="inlineStr">
        <is>
          <t>行业</t>
        </is>
      </c>
      <c r="K44" t="n">
        <v>3</v>
      </c>
      <c r="L44" t="inlineStr">
        <is>
          <t>要点待人工补充</t>
        </is>
      </c>
      <c r="Q44" t="inlineStr">
        <is>
          <t>过去两年，豆包逐渐成为我们最熟悉的AI产品之一。…</t>
        </is>
      </c>
      <c r="R44" t="inlineStr">
        <is>
          <t>自动抓取条目；下钻原文并人工核对归属公司与口径。</t>
        </is>
      </c>
      <c r="S44" t="inlineStr">
        <is>
          <t>全文已缓存</t>
        </is>
      </c>
      <c r="U44" t="inlineStr">
        <is>
          <t>自动爬取·待人工复核</t>
        </is>
      </c>
    </row>
    <row r="45">
      <c r="A45" t="inlineStr">
        <is>
          <t>INT-20260917-056</t>
        </is>
      </c>
      <c r="B45" t="inlineStr">
        <is>
          <t>1789103026</t>
        </is>
      </c>
      <c r="C45" t="inlineStr">
        <is>
          <t>2026-09-17</t>
        </is>
      </c>
      <c r="D45" t="inlineStr">
        <is>
          <t>SRC001</t>
        </is>
      </c>
      <c r="E45" t="inlineStr">
        <is>
          <t>Deeptech深科技</t>
        </is>
      </c>
      <c r="F45" t="inlineStr">
        <is>
          <t>OpenAI宣称解决下一个千禧年难题，留给人类数学家独立解决的还剩几个？</t>
        </is>
      </c>
      <c r="G45" t="inlineStr">
        <is>
          <t>https://www.mittrchina.com/news/detail/16934</t>
        </is>
      </c>
      <c r="H45" t="inlineStr">
        <is>
          <t>AI垂直类</t>
        </is>
      </c>
      <c r="I45" t="inlineStr">
        <is>
          <t>T-IND-001</t>
        </is>
      </c>
      <c r="J45" t="inlineStr">
        <is>
          <t>行业</t>
        </is>
      </c>
      <c r="K45" t="n">
        <v>4</v>
      </c>
      <c r="L45" t="inlineStr">
        <is>
          <t>要点待人工补充</t>
        </is>
      </c>
      <c r="Q45" t="inlineStr">
        <is>
          <t>9月10日，OpenAI向《纽约时报》透露，“自纳维-斯托克斯（Navier–Stokes，简称NS）方程完成以来，我们在另一个千禧年难题上取得了重大进展，正在斟酌如何审慎公布这些结果。”…</t>
        </is>
      </c>
      <c r="R45" t="inlineStr">
        <is>
          <t>自动抓取条目；下钻原文并人工核对归属公司与口径。</t>
        </is>
      </c>
      <c r="S45" t="inlineStr">
        <is>
          <t>全文已缓存</t>
        </is>
      </c>
      <c r="U45" t="inlineStr">
        <is>
          <t>自动爬取·待人工复核</t>
        </is>
      </c>
    </row>
    <row r="46">
      <c r="A46" t="inlineStr">
        <is>
          <t>INT-20260917-057</t>
        </is>
      </c>
      <c r="B46" t="inlineStr">
        <is>
          <t>1789044369</t>
        </is>
      </c>
      <c r="C46" t="inlineStr">
        <is>
          <t>2026-09-17</t>
        </is>
      </c>
      <c r="D46" t="inlineStr">
        <is>
          <t>SRC001</t>
        </is>
      </c>
      <c r="E46" t="inlineStr">
        <is>
          <t>Deeptech深科技</t>
        </is>
      </c>
      <c r="F46" t="inlineStr">
        <is>
          <t>OpenAI宣称攻克千禧年难题，人类数学家还能做什么？</t>
        </is>
      </c>
      <c r="G46" t="inlineStr">
        <is>
          <t>https://www.mittrchina.com/news/detail/16933</t>
        </is>
      </c>
      <c r="H46" t="inlineStr">
        <is>
          <t>AI垂直类</t>
        </is>
      </c>
      <c r="I46" t="inlineStr">
        <is>
          <t>T-IND-001</t>
        </is>
      </c>
      <c r="J46" t="inlineStr">
        <is>
          <t>行业</t>
        </is>
      </c>
      <c r="K46" t="n">
        <v>4</v>
      </c>
      <c r="L46" t="inlineStr">
        <is>
          <t>要点待人工补充</t>
        </is>
      </c>
      <c r="Q46" t="inlineStr">
        <is>
          <t>OpenAI卷入了一场争议。9月8日，OpenAI宣布，其AI智能体已经解决了“千禧年大奖难题”（MillenniumPrizeProblems）之一。这七道题被认为是当代数学最重要的未解难题。如果没有后续的争议，这原本…</t>
        </is>
      </c>
      <c r="R46" t="inlineStr">
        <is>
          <t>自动抓取条目；下钻原文并人工核对归属公司与口径。</t>
        </is>
      </c>
      <c r="S46" t="inlineStr">
        <is>
          <t>全文已缓存</t>
        </is>
      </c>
      <c r="U46" t="inlineStr">
        <is>
          <t>自动爬取·待人工复核</t>
        </is>
      </c>
    </row>
    <row r="47">
      <c r="A47" t="inlineStr">
        <is>
          <t>INT-20260917-058</t>
        </is>
      </c>
      <c r="B47" t="inlineStr">
        <is>
          <t>1789044134</t>
        </is>
      </c>
      <c r="C47" t="inlineStr">
        <is>
          <t>2026-09-17</t>
        </is>
      </c>
      <c r="D47" t="inlineStr">
        <is>
          <t>SRC001</t>
        </is>
      </c>
      <c r="E47" t="inlineStr">
        <is>
          <t>Deeptech深科技</t>
        </is>
      </c>
      <c r="F47" t="inlineStr">
        <is>
          <t>Anthropic推演2030年美国经济：AI时代，钱继续流向有钱人</t>
        </is>
      </c>
      <c r="G47" t="inlineStr">
        <is>
          <t>https://www.mittrchina.com/news/detail/16932</t>
        </is>
      </c>
      <c r="H47" t="inlineStr">
        <is>
          <t>AI垂直类</t>
        </is>
      </c>
      <c r="I47" t="inlineStr">
        <is>
          <t>T-IND-001</t>
        </is>
      </c>
      <c r="J47" t="inlineStr">
        <is>
          <t>行业</t>
        </is>
      </c>
      <c r="K47" t="n">
        <v>4</v>
      </c>
      <c r="L47" t="inlineStr">
        <is>
          <t>要点待人工补充</t>
        </is>
      </c>
      <c r="Q47" t="inlineStr">
        <is>
          <t>到2030年，如果AI已经能够自主完成大量工作，美国经济会发生什么？AI会让我们变得更富有？还是带来更多失业?…</t>
        </is>
      </c>
      <c r="R47" t="inlineStr">
        <is>
          <t>自动抓取条目；下钻原文并人工核对归属公司与口径。</t>
        </is>
      </c>
      <c r="S47" t="inlineStr">
        <is>
          <t>全文已缓存</t>
        </is>
      </c>
      <c r="U47" t="inlineStr">
        <is>
          <t>自动爬取·待人工复核</t>
        </is>
      </c>
    </row>
    <row r="48">
      <c r="A48" t="inlineStr">
        <is>
          <t>INT-20260917-059</t>
        </is>
      </c>
      <c r="B48" t="inlineStr">
        <is>
          <t>1788933365</t>
        </is>
      </c>
      <c r="C48" t="inlineStr">
        <is>
          <t>2026-09-17</t>
        </is>
      </c>
      <c r="D48" t="inlineStr">
        <is>
          <t>SRC001</t>
        </is>
      </c>
      <c r="E48" t="inlineStr">
        <is>
          <t>Deeptech深科技</t>
        </is>
      </c>
      <c r="F48" t="inlineStr">
        <is>
          <t>一个失败率80%的20人团队，如何做出Anthropic最成功的AI产品？</t>
        </is>
      </c>
      <c r="G48" t="inlineStr">
        <is>
          <t>https://www.mittrchina.com/news/detail/16926</t>
        </is>
      </c>
      <c r="H48" t="inlineStr">
        <is>
          <t>AI垂直类</t>
        </is>
      </c>
      <c r="I48" t="inlineStr">
        <is>
          <t>T-IND-001</t>
        </is>
      </c>
      <c r="J48" t="inlineStr">
        <is>
          <t>行业</t>
        </is>
      </c>
      <c r="K48" t="n">
        <v>4</v>
      </c>
      <c r="L48" t="inlineStr">
        <is>
          <t>要点待人工补充</t>
        </is>
      </c>
      <c r="Q48" t="inlineStr">
        <is>
          <t>过去一年，ClaudeCode几乎重新定义了人们对AI编程工具的想象。…</t>
        </is>
      </c>
      <c r="R48" t="inlineStr">
        <is>
          <t>自动抓取条目；下钻原文并人工核对归属公司与口径。</t>
        </is>
      </c>
      <c r="S48" t="inlineStr">
        <is>
          <t>全文已缓存</t>
        </is>
      </c>
      <c r="U48" t="inlineStr">
        <is>
          <t>自动爬取·待人工复核</t>
        </is>
      </c>
    </row>
    <row r="49">
      <c r="A49" t="inlineStr">
        <is>
          <t>INT-20260917-060</t>
        </is>
      </c>
      <c r="B49" t="inlineStr">
        <is>
          <t>1788916176</t>
        </is>
      </c>
      <c r="C49" t="inlineStr">
        <is>
          <t>2026-09-17</t>
        </is>
      </c>
      <c r="D49" t="inlineStr">
        <is>
          <t>SRC001</t>
        </is>
      </c>
      <c r="E49" t="inlineStr">
        <is>
          <t>Deeptech深科技</t>
        </is>
      </c>
      <c r="F49" t="inlineStr">
        <is>
          <t>OpenAI宣布攻克NS千禧年难题！花费数百万美元完成，已公开165页证明</t>
        </is>
      </c>
      <c r="G49" t="inlineStr">
        <is>
          <t>https://www.mittrchina.com/news/detail/16924</t>
        </is>
      </c>
      <c r="H49" t="inlineStr">
        <is>
          <t>AI垂直类</t>
        </is>
      </c>
      <c r="I49" t="inlineStr">
        <is>
          <t>T-IND-001</t>
        </is>
      </c>
      <c r="J49" t="inlineStr">
        <is>
          <t>行业</t>
        </is>
      </c>
      <c r="K49" t="n">
        <v>4</v>
      </c>
      <c r="L49" t="inlineStr">
        <is>
          <t>OpenAI公布了一份165页的数学论文</t>
        </is>
      </c>
      <c r="Q49" t="inlineStr">
        <is>
          <t>9月8日，OpenAI公布了一份165页的数学论文，宣布找到纳维－斯托克斯方程（Navier–Stokes，简称NS）存在性与光滑性问题的解答。…</t>
        </is>
      </c>
      <c r="R49" t="inlineStr">
        <is>
          <t>自动抓取条目；下钻原文并人工核对归属公司与口径。</t>
        </is>
      </c>
      <c r="S49" t="inlineStr">
        <is>
          <t>全文已缓存</t>
        </is>
      </c>
      <c r="U49" t="inlineStr">
        <is>
          <t>自动爬取·待人工复核</t>
        </is>
      </c>
    </row>
    <row r="50">
      <c r="A50" t="inlineStr">
        <is>
          <t>INT-20260917-061</t>
        </is>
      </c>
      <c r="B50" t="inlineStr">
        <is>
          <t>1788873641</t>
        </is>
      </c>
      <c r="C50" t="inlineStr">
        <is>
          <t>2026-09-17</t>
        </is>
      </c>
      <c r="D50" t="inlineStr">
        <is>
          <t>SRC001</t>
        </is>
      </c>
      <c r="E50" t="inlineStr">
        <is>
          <t>Deeptech深科技</t>
        </is>
      </c>
      <c r="F50" t="inlineStr">
        <is>
          <t>数学家借AI取得千禧年难题重大突破，随后指控被OpenAI威胁并试图截胡</t>
        </is>
      </c>
      <c r="G50" t="inlineStr">
        <is>
          <t>https://www.mittrchina.com/news/detail/16923</t>
        </is>
      </c>
      <c r="H50" t="inlineStr">
        <is>
          <t>AI垂直类</t>
        </is>
      </c>
      <c r="I50" t="inlineStr">
        <is>
          <t>T-IND-001</t>
        </is>
      </c>
      <c r="J50" t="inlineStr">
        <is>
          <t>行业</t>
        </is>
      </c>
      <c r="K50" t="n">
        <v>4</v>
      </c>
      <c r="L50" t="inlineStr">
        <is>
          <t>要点待人工补充</t>
        </is>
      </c>
      <c r="Q50" t="inlineStr">
        <is>
          <t>两位研究者原本想先把证明整理清楚，一场突如其来的争议却让论文提前公开。…</t>
        </is>
      </c>
      <c r="R50" t="inlineStr">
        <is>
          <t>自动抓取条目；下钻原文并人工核对归属公司与口径。</t>
        </is>
      </c>
      <c r="S50" t="inlineStr">
        <is>
          <t>全文已缓存</t>
        </is>
      </c>
      <c r="U50" t="inlineStr">
        <is>
          <t>自动爬取·待人工复核</t>
        </is>
      </c>
    </row>
    <row r="51">
      <c r="A51" t="inlineStr">
        <is>
          <t>INT-20260917-062</t>
        </is>
      </c>
      <c r="B51" t="inlineStr">
        <is>
          <t>1788865891</t>
        </is>
      </c>
      <c r="C51" t="inlineStr">
        <is>
          <t>2026-09-17</t>
        </is>
      </c>
      <c r="D51" t="inlineStr">
        <is>
          <t>SRC001</t>
        </is>
      </c>
      <c r="E51" t="inlineStr">
        <is>
          <t>Deeptech深科技</t>
        </is>
      </c>
      <c r="F51" t="inlineStr">
        <is>
          <t>七成美国人觉得AI会让工作变少，年轻人最焦虑</t>
        </is>
      </c>
      <c r="G51" t="inlineStr">
        <is>
          <t>https://www.mittrchina.com/news/detail/16922</t>
        </is>
      </c>
      <c r="H51" t="inlineStr">
        <is>
          <t>AI垂直类</t>
        </is>
      </c>
      <c r="I51" t="inlineStr">
        <is>
          <t>T-IND-001</t>
        </is>
      </c>
      <c r="J51" t="inlineStr">
        <is>
          <t>行业</t>
        </is>
      </c>
      <c r="K51" t="n">
        <v>3</v>
      </c>
      <c r="L51" t="inlineStr">
        <is>
          <t>要点待人工补充</t>
        </is>
      </c>
      <c r="Q51" t="inlineStr">
        <is>
          <t>近日，马斯克的女儿薇薇安在为西班牙时尚品牌Desigual拍摄的广告中，把机器人当狗一样牵着散步，让它割草、做家务，又拍下一组挑衅意味十足的床上镜头。意在批评AI正在抢走创意工作者的岗位，并给环境带来负担。…</t>
        </is>
      </c>
      <c r="R51" t="inlineStr">
        <is>
          <t>自动抓取条目；下钻原文并人工核对归属公司与口径。</t>
        </is>
      </c>
      <c r="S51" t="inlineStr">
        <is>
          <t>全文已缓存</t>
        </is>
      </c>
      <c r="U51" t="inlineStr">
        <is>
          <t>自动爬取·待人工复核</t>
        </is>
      </c>
    </row>
    <row r="52">
      <c r="A52" t="inlineStr">
        <is>
          <t>INT-20260917-063</t>
        </is>
      </c>
      <c r="B52" t="inlineStr">
        <is>
          <t>1788844100</t>
        </is>
      </c>
      <c r="C52" t="inlineStr">
        <is>
          <t>2026-09-17</t>
        </is>
      </c>
      <c r="D52" t="inlineStr">
        <is>
          <t>SRC001</t>
        </is>
      </c>
      <c r="E52" t="inlineStr">
        <is>
          <t>Deeptech深科技</t>
        </is>
      </c>
      <c r="F52" t="inlineStr">
        <is>
          <t>吃药4周，“生理年龄”年轻了3岁？英矽智能AI肺病新药捕捉到抗衰老信号</t>
        </is>
      </c>
      <c r="G52" t="inlineStr">
        <is>
          <t>https://www.mittrchina.com/news/detail/16919</t>
        </is>
      </c>
      <c r="H52" t="inlineStr">
        <is>
          <t>AI垂直类</t>
        </is>
      </c>
      <c r="I52" t="inlineStr">
        <is>
          <t>T-IND-001</t>
        </is>
      </c>
      <c r="J52" t="inlineStr">
        <is>
          <t>行业</t>
        </is>
      </c>
      <c r="K52" t="n">
        <v>3</v>
      </c>
      <c r="L52" t="inlineStr">
        <is>
          <t>要点待人工补充</t>
        </is>
      </c>
      <c r="Q52" t="inlineStr">
        <is>
          <t>一款原本用于治疗肺病的候选药物，展现出了与抗衰老相关的早期信号。…</t>
        </is>
      </c>
      <c r="R52" t="inlineStr">
        <is>
          <t>自动抓取条目；下钻原文并人工核对归属公司与口径。</t>
        </is>
      </c>
      <c r="S52" t="inlineStr">
        <is>
          <t>全文已缓存</t>
        </is>
      </c>
      <c r="U52" t="inlineStr">
        <is>
          <t>自动爬取·待人工复核</t>
        </is>
      </c>
    </row>
    <row r="53">
      <c r="A53" t="inlineStr">
        <is>
          <t>INT-20260917-064</t>
        </is>
      </c>
      <c r="B53" t="inlineStr">
        <is>
          <t>1788782630</t>
        </is>
      </c>
      <c r="C53" t="inlineStr">
        <is>
          <t>2026-09-17</t>
        </is>
      </c>
      <c r="D53" t="inlineStr">
        <is>
          <t>SRC001</t>
        </is>
      </c>
      <c r="E53" t="inlineStr">
        <is>
          <t>Deeptech深科技</t>
        </is>
      </c>
      <c r="F53" t="inlineStr">
        <is>
          <t>收了一家还不够，Anthropic或将继续收购AI生物公司</t>
        </is>
      </c>
      <c r="G53" t="inlineStr">
        <is>
          <t>https://www.mittrchina.com/news/detail/16915</t>
        </is>
      </c>
      <c r="H53" t="inlineStr">
        <is>
          <t>AI垂直类</t>
        </is>
      </c>
      <c r="I53" t="inlineStr">
        <is>
          <t>T-IND-001</t>
        </is>
      </c>
      <c r="J53" t="inlineStr">
        <is>
          <t>行业</t>
        </is>
      </c>
      <c r="K53" t="n">
        <v>4</v>
      </c>
      <c r="L53" t="inlineStr">
        <is>
          <t>要点待人工补充</t>
        </is>
      </c>
      <c r="Q53" t="inlineStr">
        <is>
          <t>Anthropic最近的一则招聘，透露了它在生命科学领域的下一步：寻找专门负责人，推进AI生物公司的收购、投资和合作。目标领域包括药物发现、临床开发、医学文书、实验室自动化及医疗数据基础设施，尚未披露具体交易对象。…</t>
        </is>
      </c>
      <c r="R53" t="inlineStr">
        <is>
          <t>自动抓取条目；下钻原文并人工核对归属公司与口径。</t>
        </is>
      </c>
      <c r="S53" t="inlineStr">
        <is>
          <t>全文已缓存</t>
        </is>
      </c>
      <c r="U53" t="inlineStr">
        <is>
          <t>自动爬取·待人工复核</t>
        </is>
      </c>
    </row>
    <row r="54">
      <c r="A54" t="inlineStr">
        <is>
          <t>INT-20260917-065</t>
        </is>
      </c>
      <c r="B54" t="inlineStr">
        <is>
          <t>1788773322</t>
        </is>
      </c>
      <c r="C54" t="inlineStr">
        <is>
          <t>2026-09-17</t>
        </is>
      </c>
      <c r="D54" t="inlineStr">
        <is>
          <t>SRC001</t>
        </is>
      </c>
      <c r="E54" t="inlineStr">
        <is>
          <t>Deeptech深科技</t>
        </is>
      </c>
      <c r="F54" t="inlineStr">
        <is>
          <t>OpenAI首席科学家：AI正变得像“外星心智”，已经超出我们的理解</t>
        </is>
      </c>
      <c r="G54" t="inlineStr">
        <is>
          <t>https://www.mittrchina.com/news/detail/16912</t>
        </is>
      </c>
      <c r="H54" t="inlineStr">
        <is>
          <t>AI垂直类</t>
        </is>
      </c>
      <c r="I54" t="inlineStr">
        <is>
          <t>T-IND-001</t>
        </is>
      </c>
      <c r="J54" t="inlineStr">
        <is>
          <t>行业</t>
        </is>
      </c>
      <c r="K54" t="n">
        <v>4</v>
      </c>
      <c r="L54" t="inlineStr">
        <is>
          <t>当地时间9月6日</t>
        </is>
      </c>
      <c r="Q54" t="inlineStr">
        <is>
          <t>外星心智，OpenAI首席科学家JakubPachocki使用这个词语来形容现在的AI。当地时间9月6日，他在一篇长博客里写道，AI不是被设计出来的，实际上是被生长出来的。…</t>
        </is>
      </c>
      <c r="R54" t="inlineStr">
        <is>
          <t>自动抓取条目；下钻原文并人工核对归属公司与口径。</t>
        </is>
      </c>
      <c r="S54" t="inlineStr">
        <is>
          <t>全文已缓存</t>
        </is>
      </c>
      <c r="U54" t="inlineStr">
        <is>
          <t>自动爬取·待人工复核</t>
        </is>
      </c>
    </row>
    <row r="55">
      <c r="A55" t="inlineStr">
        <is>
          <t>INT-20260917-066</t>
        </is>
      </c>
      <c r="B55" t="inlineStr">
        <is>
          <t>1788759341</t>
        </is>
      </c>
      <c r="C55" t="inlineStr">
        <is>
          <t>2026-09-17</t>
        </is>
      </c>
      <c r="D55" t="inlineStr">
        <is>
          <t>SRC001</t>
        </is>
      </c>
      <c r="E55" t="inlineStr">
        <is>
          <t>Deeptech深科技</t>
        </is>
      </c>
      <c r="F55" t="inlineStr">
        <is>
          <t>AI正在“吃掉”俄乌战争留下的数据</t>
        </is>
      </c>
      <c r="G55" t="inlineStr">
        <is>
          <t>https://www.mittrchina.com/news/detail/16911</t>
        </is>
      </c>
      <c r="H55" t="inlineStr">
        <is>
          <t>AI垂直类</t>
        </is>
      </c>
      <c r="I55" t="inlineStr">
        <is>
          <t>T-IND-001</t>
        </is>
      </c>
      <c r="J55" t="inlineStr">
        <is>
          <t>行业</t>
        </is>
      </c>
      <c r="K55" t="n">
        <v>3</v>
      </c>
      <c r="L55" t="inlineStr">
        <is>
          <t>要点待人工补充</t>
        </is>
      </c>
      <c r="Q55" t="inlineStr">
        <is>
          <t>乌克兰的战场上散落着无人机残骸。如今，无人机已经成为现代战争中的关键武器。但在这些残骸背后，国防产业也发现了一座新的数据金矿。无人机产生的数据，其寿命将远远超过使用它们的战争。这些数据还会越来越多地进入人工智能基础设施，…</t>
        </is>
      </c>
      <c r="R55" t="inlineStr">
        <is>
          <t>自动抓取条目；下钻原文并人工核对归属公司与口径。</t>
        </is>
      </c>
      <c r="S55" t="inlineStr">
        <is>
          <t>全文已缓存</t>
        </is>
      </c>
      <c r="U55" t="inlineStr">
        <is>
          <t>自动爬取·待人工复核</t>
        </is>
      </c>
    </row>
    <row r="56">
      <c r="A56" t="inlineStr">
        <is>
          <t>INT-20260917-067</t>
        </is>
      </c>
      <c r="B56" t="inlineStr">
        <is>
          <t>1788694285</t>
        </is>
      </c>
      <c r="C56" t="inlineStr">
        <is>
          <t>2026-09-17</t>
        </is>
      </c>
      <c r="D56" t="inlineStr">
        <is>
          <t>SRC001</t>
        </is>
      </c>
      <c r="E56" t="inlineStr">
        <is>
          <t>Deeptech深科技</t>
        </is>
      </c>
      <c r="F56" t="inlineStr">
        <is>
          <t>AI会制造一个“新封建主义”社会吗？</t>
        </is>
      </c>
      <c r="G56" t="inlineStr">
        <is>
          <t>https://www.mittrchina.com/news/detail/16909</t>
        </is>
      </c>
      <c r="H56" t="inlineStr">
        <is>
          <t>AI垂直类</t>
        </is>
      </c>
      <c r="I56" t="inlineStr">
        <is>
          <t>T-IND-001</t>
        </is>
      </c>
      <c r="J56" t="inlineStr">
        <is>
          <t>行业</t>
        </is>
      </c>
      <c r="K56" t="n">
        <v>3</v>
      </c>
      <c r="L56" t="inlineStr">
        <is>
          <t>要点待人工补充</t>
        </is>
      </c>
      <c r="Q56" t="inlineStr">
        <is>
          <t>最近一段时间，普林斯顿大学政治学者GregoryConti（格雷戈里·孔蒂）在社交媒体X上连续输出，讨论AI，而且态度越来越鲜明。…</t>
        </is>
      </c>
      <c r="R56" t="inlineStr">
        <is>
          <t>自动抓取条目；下钻原文并人工核对归属公司与口径。</t>
        </is>
      </c>
      <c r="S56" t="inlineStr">
        <is>
          <t>全文已缓存</t>
        </is>
      </c>
      <c r="U56" t="inlineStr">
        <is>
          <t>自动爬取·待人工复核</t>
        </is>
      </c>
    </row>
    <row r="57">
      <c r="A57" t="inlineStr">
        <is>
          <t>INT-20260917-068</t>
        </is>
      </c>
      <c r="B57" t="inlineStr">
        <is>
          <t>1788694136</t>
        </is>
      </c>
      <c r="C57" t="inlineStr">
        <is>
          <t>2026-09-17</t>
        </is>
      </c>
      <c r="D57" t="inlineStr">
        <is>
          <t>SRC001</t>
        </is>
      </c>
      <c r="E57" t="inlineStr">
        <is>
          <t>Deeptech深科技</t>
        </is>
      </c>
      <c r="F57" t="inlineStr">
        <is>
          <t>David Baker造了一座“AI生物工厂”：不只要造蛋白质，还要按功能设计生物分子</t>
        </is>
      </c>
      <c r="G57" t="inlineStr">
        <is>
          <t>https://www.mittrchina.com/news/detail/16908</t>
        </is>
      </c>
      <c r="H57" t="inlineStr">
        <is>
          <t>AI垂直类</t>
        </is>
      </c>
      <c r="I57" t="inlineStr">
        <is>
          <t>T-IND-001</t>
        </is>
      </c>
      <c r="J57" t="inlineStr">
        <is>
          <t>行业</t>
        </is>
      </c>
      <c r="K57" t="n">
        <v>3</v>
      </c>
      <c r="L57" t="inlineStr">
        <is>
          <t>要点待人工补充</t>
        </is>
      </c>
      <c r="Q57" t="inlineStr">
        <is>
          <t>一种能结合疾病相关靶点的蛋白质，一段控制基因开启或关闭的DNA，一个能选择性降解或稳定特定蛋白质的工具，这些是一个名为AIBioDesign的新科研项目初期准备研究的对象。它们对应几项具体能力：识别目标、调节基因活动，以…</t>
        </is>
      </c>
      <c r="R57" t="inlineStr">
        <is>
          <t>自动抓取条目；下钻原文并人工核对归属公司与口径。</t>
        </is>
      </c>
      <c r="S57" t="inlineStr">
        <is>
          <t>全文已缓存</t>
        </is>
      </c>
      <c r="U57" t="inlineStr">
        <is>
          <t>自动爬取·待人工复核</t>
        </is>
      </c>
    </row>
    <row r="58">
      <c r="A58" t="inlineStr">
        <is>
          <t>INT-20260917-069</t>
        </is>
      </c>
      <c r="B58" t="inlineStr">
        <is>
          <t>2026-09-17</t>
        </is>
      </c>
      <c r="C58" t="inlineStr">
        <is>
          <t>2026-09-17</t>
        </is>
      </c>
      <c r="D58" t="inlineStr">
        <is>
          <t>SRC004</t>
        </is>
      </c>
      <c r="E58" t="inlineStr">
        <is>
          <t>虎嗅</t>
        </is>
      </c>
      <c r="F58" t="inlineStr">
        <is>
          <t>你为什么需要一部AI手机？</t>
        </is>
      </c>
      <c r="G58" t="inlineStr">
        <is>
          <t>https://m.huxiu.com/article/4892012.html</t>
        </is>
      </c>
      <c r="H58" t="inlineStr">
        <is>
          <t>AI垂直类</t>
        </is>
      </c>
      <c r="I58" t="inlineStr">
        <is>
          <t>T-IND-001</t>
        </is>
      </c>
      <c r="J58" t="inlineStr">
        <is>
          <t>行业</t>
        </is>
      </c>
      <c r="K58" t="n">
        <v>3</v>
      </c>
      <c r="L58" t="inlineStr">
        <is>
          <t>你为什么需要一部AI手机？-虎嗅网2026-09-1717:12你为什么需要一部AI手机？keso怎么看</t>
        </is>
      </c>
      <c r="M58" t="inlineStr">
        <is>
          <t>据说京东上的预约量突破37万人</t>
        </is>
      </c>
      <c r="N58" t="inlineStr">
        <is>
          <t>顿觉自己成了有身份的人……从2007年初代iPhone发布算起</t>
        </is>
      </c>
      <c r="Q58" t="inlineStr">
        <is>
          <t>你为什么需要一部AI手机？-虎嗅网2026-09-1717:12你为什么需要一部AI手机？keso怎么看©速览本文来自微信公众号：keso怎么看，作者：keso，题图来自：AI生成当下的潮流是，把AI塞进手机。去年底，努…</t>
        </is>
      </c>
      <c r="R58" t="inlineStr">
        <is>
          <t>自动抓取条目；下钻原文并人工核对归属公司与口径。</t>
        </is>
      </c>
      <c r="S58" t="inlineStr">
        <is>
          <t>全文已缓存</t>
        </is>
      </c>
      <c r="U58" t="inlineStr">
        <is>
          <t>自动爬取·待人工复核</t>
        </is>
      </c>
    </row>
    <row r="59">
      <c r="A59" t="inlineStr">
        <is>
          <t>INT-20260917-070</t>
        </is>
      </c>
      <c r="B59" t="inlineStr">
        <is>
          <t>2026-09-17</t>
        </is>
      </c>
      <c r="C59" t="inlineStr">
        <is>
          <t>2026-09-17</t>
        </is>
      </c>
      <c r="D59" t="inlineStr">
        <is>
          <t>SRC002</t>
        </is>
      </c>
      <c r="E59" t="inlineStr">
        <is>
          <t>量子位</t>
        </is>
      </c>
      <c r="F59" t="inlineStr">
        <is>
          <t>图形学宗师童欣加盟Meshy，要做“AI for Fun”的头号玩家 – 量子位</t>
        </is>
      </c>
      <c r="G59" t="inlineStr">
        <is>
          <t>https://www.qbitai.com/2026/09/491522.html</t>
        </is>
      </c>
      <c r="H59" t="inlineStr">
        <is>
          <t>AI垂直类</t>
        </is>
      </c>
      <c r="I59" t="inlineStr">
        <is>
          <t>T-IND-001</t>
        </is>
      </c>
      <c r="J59" t="inlineStr">
        <is>
          <t>行业</t>
        </is>
      </c>
      <c r="K59" t="n">
        <v>3</v>
      </c>
      <c r="L59" t="inlineStr">
        <is>
          <t>要做“AIforFun”的头号玩家衡宇2026-09-1717:42:12来源：量子位他要和这一代最富</t>
        </is>
      </c>
      <c r="M59" t="inlineStr">
        <is>
          <t>正在向3D生成聚集</t>
        </is>
      </c>
      <c r="N59" t="inlineStr">
        <is>
          <t>具身智能机器人……3D</t>
        </is>
      </c>
      <c r="Q59" t="inlineStr">
        <is>
          <t>图形学宗师童欣加盟Meshy，要做“AIforFun”的头号玩家–量子位首页资讯智能车智库活动MEET大会AIGC扫码关注量子位--&gt;图形学宗师童欣加盟Meshy，要做“AIforFun”的头号玩家衡宇2026-09-1…</t>
        </is>
      </c>
      <c r="R59" t="inlineStr">
        <is>
          <t>自动抓取条目；下钻原文并人工核对归属公司与口径。</t>
        </is>
      </c>
      <c r="S59" t="inlineStr">
        <is>
          <t>全文已缓存</t>
        </is>
      </c>
      <c r="U59" t="inlineStr">
        <is>
          <t>自动爬取·待人工复核</t>
        </is>
      </c>
    </row>
    <row r="60">
      <c r="A60" t="inlineStr">
        <is>
          <t>INT-20260917-071</t>
        </is>
      </c>
      <c r="B60" t="inlineStr">
        <is>
          <t>2026-09-17</t>
        </is>
      </c>
      <c r="C60" t="inlineStr">
        <is>
          <t>2026-09-17</t>
        </is>
      </c>
      <c r="D60" t="inlineStr">
        <is>
          <t>SRC002</t>
        </is>
      </c>
      <c r="E60" t="inlineStr">
        <is>
          <t>量子位</t>
        </is>
      </c>
      <c r="F60" t="inlineStr">
        <is>
          <t>央企做了个通用Agent，直接杀进IDC实测前三！ – 量子位</t>
        </is>
      </c>
      <c r="G60" t="inlineStr">
        <is>
          <t>https://www.qbitai.com/2026/09/491454.html</t>
        </is>
      </c>
      <c r="H60" t="inlineStr">
        <is>
          <t>AI垂直类</t>
        </is>
      </c>
      <c r="I60" t="inlineStr">
        <is>
          <t>T-IND-001</t>
        </is>
      </c>
      <c r="J60" t="inlineStr">
        <is>
          <t>行业</t>
        </is>
      </c>
      <c r="K60" t="n">
        <v>3</v>
      </c>
      <c r="L60" t="inlineStr">
        <is>
          <t>直接杀进IDC实测前三！十三2026-09-1717:39:19来源：量子位中国电信</t>
        </is>
      </c>
      <c r="M60" t="inlineStr">
        <is>
          <t>TeleAgent常规任务得分3.49分</t>
        </is>
      </c>
      <c r="N60" t="inlineStr">
        <is>
          <t>复杂任务得分3.36分</t>
        </is>
      </c>
      <c r="Q60" t="inlineStr">
        <is>
          <t>央企做了个通用Agent，直接杀进IDC实测前三！–量子位首页资讯智能车智库活动MEET大会AIGC扫码关注量子位--&gt;央企做了个通用Agent，直接杀进IDC实测前三！十三2026-09-1717:39:19来源：量子…</t>
        </is>
      </c>
      <c r="R60" t="inlineStr">
        <is>
          <t>自动抓取条目；下钻原文并人工核对归属公司与口径。</t>
        </is>
      </c>
      <c r="S60" t="inlineStr">
        <is>
          <t>全文已缓存</t>
        </is>
      </c>
      <c r="U60" t="inlineStr">
        <is>
          <t>自动爬取·待人工复核</t>
        </is>
      </c>
    </row>
    <row r="61">
      <c r="A61" t="inlineStr">
        <is>
          <t>INT-20260917-072</t>
        </is>
      </c>
      <c r="B61" t="inlineStr">
        <is>
          <t>2026-09-17</t>
        </is>
      </c>
      <c r="C61" t="inlineStr">
        <is>
          <t>2026-09-17</t>
        </is>
      </c>
      <c r="D61" t="inlineStr">
        <is>
          <t>SRC002</t>
        </is>
      </c>
      <c r="E61" t="inlineStr">
        <is>
          <t>量子位</t>
        </is>
      </c>
      <c r="F61" t="inlineStr">
        <is>
          <t>Claude双入口合并，原生Office上线！硅谷AI办公大战也开始了 – 量子位</t>
        </is>
      </c>
      <c r="G61" t="inlineStr">
        <is>
          <t>https://www.qbitai.com/2026/09/491391.html</t>
        </is>
      </c>
      <c r="H61" t="inlineStr">
        <is>
          <t>AI垂直类</t>
        </is>
      </c>
      <c r="I61" t="inlineStr">
        <is>
          <t>T-IND-001</t>
        </is>
      </c>
      <c r="J61" t="inlineStr">
        <is>
          <t>行业</t>
        </is>
      </c>
      <c r="K61" t="n">
        <v>3</v>
      </c>
      <c r="L61" t="inlineStr">
        <is>
          <t>原生Office上线！硅谷AI办公大战也开始了听雨2026-09-1717:07:25来源：量子位文档和</t>
        </is>
      </c>
      <c r="M61" t="inlineStr">
        <is>
          <t>Cowork其实是今年1月从Claud</t>
        </is>
      </c>
      <c r="Q61" t="inlineStr">
        <is>
          <t>Claude双入口合并，原生Office上线！硅谷AI办公大战也开始了–量子位首页资讯智能车智库活动MEET大会AIGC扫码关注量子位--&gt;Claude双入口合并，原生Office上线！硅谷AI办公大战也开始了听雨202…</t>
        </is>
      </c>
      <c r="R61" t="inlineStr">
        <is>
          <t>自动抓取条目；下钻原文并人工核对归属公司与口径。</t>
        </is>
      </c>
      <c r="S61" t="inlineStr">
        <is>
          <t>全文已缓存</t>
        </is>
      </c>
      <c r="U61" t="inlineStr">
        <is>
          <t>自动爬取·待人工复核</t>
        </is>
      </c>
    </row>
    <row r="62">
      <c r="A62" t="inlineStr">
        <is>
          <t>INT-20260917-073</t>
        </is>
      </c>
      <c r="B62" t="inlineStr">
        <is>
          <t>2026-09-17</t>
        </is>
      </c>
      <c r="C62" t="inlineStr">
        <is>
          <t>2026-09-17</t>
        </is>
      </c>
      <c r="D62" t="inlineStr">
        <is>
          <t>SRC002</t>
        </is>
      </c>
      <c r="E62" t="inlineStr">
        <is>
          <t>量子位</t>
        </is>
      </c>
      <c r="F62" t="inlineStr">
        <is>
          <t>刚刚，唐杰发布智谱RSI首个成果 – 量子位</t>
        </is>
      </c>
      <c r="G62" t="inlineStr">
        <is>
          <t>https://www.qbitai.com/2026/09/491357.html</t>
        </is>
      </c>
      <c r="H62" t="inlineStr">
        <is>
          <t>AI垂直类</t>
        </is>
      </c>
      <c r="I62" t="inlineStr">
        <is>
          <t>T-IND-001</t>
        </is>
      </c>
      <c r="J62" t="inlineStr">
        <is>
          <t>行业</t>
        </is>
      </c>
      <c r="K62" t="n">
        <v>4</v>
      </c>
      <c r="L62" t="inlineStr">
        <is>
          <t>唐杰发布智谱RSI首个成果一水2026-09-1716:28:23来源：量子位GLM已经开始参与构建</t>
        </is>
      </c>
      <c r="M62" t="inlineStr">
        <is>
          <t>人唐杰刚刚分享了一个他们内部观察到的RSI早期案例：GLM-5.3驱动的InfraAgent</t>
        </is>
      </c>
      <c r="N62" t="inlineStr">
        <is>
          <t>在超过10万张国产芯片组成的集群上</t>
        </is>
      </c>
      <c r="Q62" t="inlineStr">
        <is>
          <t>刚刚，唐杰发布智谱RSI首个成果–量子位首页资讯智能车智库活动MEET大会AIGC扫码关注量子位--&gt;刚刚，唐杰发布智谱RSI首个成果一水2026-09-1716:28:23来源：量子位GLM已经开始参与构建GLM了GL…</t>
        </is>
      </c>
      <c r="R62" t="inlineStr">
        <is>
          <t>自动抓取条目；下钻原文并人工核对归属公司与口径。</t>
        </is>
      </c>
      <c r="S62" t="inlineStr">
        <is>
          <t>全文已缓存</t>
        </is>
      </c>
      <c r="U62" t="inlineStr">
        <is>
          <t>自动爬取·待人工复核</t>
        </is>
      </c>
    </row>
    <row r="63">
      <c r="A63" t="inlineStr">
        <is>
          <t>INT-20260917-074</t>
        </is>
      </c>
      <c r="B63" t="inlineStr">
        <is>
          <t>2026-09-15</t>
        </is>
      </c>
      <c r="C63" t="inlineStr">
        <is>
          <t>2026-09-17</t>
        </is>
      </c>
      <c r="D63" t="inlineStr">
        <is>
          <t>SRC005</t>
        </is>
      </c>
      <c r="E63" t="inlineStr">
        <is>
          <t>腾讯科技</t>
        </is>
      </c>
      <c r="F63" t="inlineStr">
        <is>
          <t>企鹅智库AI周观察：OpenAI与Anthropic公开讨论主动放慢前沿模型</t>
        </is>
      </c>
      <c r="H63" t="inlineStr">
        <is>
          <t>AI垂直类</t>
        </is>
      </c>
      <c r="I63" t="inlineStr">
        <is>
          <t>T-IND-001</t>
        </is>
      </c>
      <c r="J63" t="inlineStr">
        <is>
          <t>行业</t>
        </is>
      </c>
      <c r="K63" t="n">
        <v>4</v>
      </c>
      <c r="L63" t="inlineStr">
        <is>
          <t>Altman：必要时放慢模型能力推进</t>
        </is>
      </c>
      <c r="M63" t="inlineStr">
        <is>
          <t>Amodei长文提出三步方案</t>
        </is>
      </c>
      <c r="N63" t="inlineStr">
        <is>
          <t>OpenAI曾于8月18日因越权事件放慢Scaling</t>
        </is>
      </c>
      <c r="O63" t="inlineStr">
        <is>
          <t>减速指能力扩张与安全验证同步</t>
        </is>
      </c>
      <c r="Q63" t="inlineStr">
        <is>
          <t>据腾讯科技企鹅智库AI周观察整理：OpenAI CEO在内部员工会表示必要时放慢模型能力推进以给安全研究和验证留出时间；Anthropic CEO 9月12日发长文提出三步方案（独立安全评估者获内部级访问、前沿实验室间协调安全标准、扩展至政府与国际层面）。两家均强调放缓不等于停止训练。</t>
        </is>
      </c>
      <c r="R63" t="inlineStr">
        <is>
          <t>下钻Reuters原文与Amodei长文原文，核对两家表述差异；与看板OpenAI/Anthropic叙事页交叉验证。</t>
        </is>
      </c>
      <c r="S63" t="inlineStr">
        <is>
          <t>待核验</t>
        </is>
      </c>
      <c r="U63" t="inlineStr">
        <is>
          <t>据腾讯科技观点整理；公众号原文无公开直链</t>
        </is>
      </c>
    </row>
    <row r="64">
      <c r="A64" t="inlineStr">
        <is>
          <t>INT-20260917-075</t>
        </is>
      </c>
      <c r="B64" t="inlineStr">
        <is>
          <t>2026-09-15</t>
        </is>
      </c>
      <c r="C64" t="inlineStr">
        <is>
          <t>2026-09-17</t>
        </is>
      </c>
      <c r="D64" t="inlineStr">
        <is>
          <t>SRC005</t>
        </is>
      </c>
      <c r="E64" t="inlineStr">
        <is>
          <t>腾讯科技</t>
        </is>
      </c>
      <c r="F64" t="inlineStr">
        <is>
          <t>DeepSeek启动科创板上市辅导，一级估值一个月升至约710亿美元</t>
        </is>
      </c>
      <c r="H64" t="inlineStr">
        <is>
          <t>AI垂直类</t>
        </is>
      </c>
      <c r="I64" t="inlineStr">
        <is>
          <t>T-IND-001</t>
        </is>
      </c>
      <c r="J64" t="inlineStr">
        <is>
          <t>行业</t>
        </is>
      </c>
      <c r="K64" t="n">
        <v>4</v>
      </c>
      <c r="L64" t="inlineStr">
        <is>
          <t>中信证券上市辅导（Reuters 09-09）</t>
        </is>
      </c>
      <c r="M64" t="inlineStr">
        <is>
          <t>估值约520亿→710亿美元（FT）</t>
        </is>
      </c>
      <c r="N64" t="inlineStr">
        <is>
          <t>通道费前端超15%后端最高40%</t>
        </is>
      </c>
      <c r="O64" t="inlineStr">
        <is>
          <t>最近年化收入约5亿美元（FT）</t>
        </is>
      </c>
      <c r="Q64" t="inlineStr">
        <is>
          <t>据腾讯科技企鹅智库AI周观察整理：Reuters报道DeepSeek已聘请中信证券启动科创板上市辅导；FT报道称最新一轮估值从约520亿升至约710亿美元，投资条件苛刻仍供不应求，外围份额通道费最高前端15%后端40%；文中对比智谱上市后市销率与OpenAI/Anthropic私募估值对应约20-34倍收入。</t>
        </is>
      </c>
      <c r="R64" t="inlineStr">
        <is>
          <t>下钻Reuters与FT原文；与看板智谱/MiniMax KPI框架中「上市稀缺溢价」论点交叉验证。</t>
        </is>
      </c>
      <c r="S64" t="inlineStr">
        <is>
          <t>待核验</t>
        </is>
      </c>
      <c r="U64" t="inlineStr">
        <is>
          <t>据腾讯科技观点整理；公众号原文无公开直链</t>
        </is>
      </c>
    </row>
    <row r="65">
      <c r="A65" t="inlineStr">
        <is>
          <t>INT-20260917-076</t>
        </is>
      </c>
      <c r="B65" t="inlineStr">
        <is>
          <t>2026-09-15</t>
        </is>
      </c>
      <c r="C65" t="inlineStr">
        <is>
          <t>2026-09-17</t>
        </is>
      </c>
      <c r="D65" t="inlineStr">
        <is>
          <t>SRC005</t>
        </is>
      </c>
      <c r="E65" t="inlineStr">
        <is>
          <t>腾讯科技</t>
        </is>
      </c>
      <c r="F65" t="inlineStr">
        <is>
          <t>DeepSeek V4.1 Flash：KV Cache压至约890 bytes/Token，HBM占用降至1/4</t>
        </is>
      </c>
      <c r="H65" t="inlineStr">
        <is>
          <t>AI垂直类</t>
        </is>
      </c>
      <c r="I65" t="inlineStr">
        <is>
          <t>T-CAPEX-001</t>
        </is>
      </c>
      <c r="J65" t="inlineStr">
        <is>
          <t>行业</t>
        </is>
      </c>
      <c r="K65" t="n">
        <v>4</v>
      </c>
      <c r="L65" t="inlineStr">
        <is>
          <t>总参552B，输入激活8B/输出16B</t>
        </is>
      </c>
      <c r="M65" t="inlineStr">
        <is>
          <t>KV Cache约890 bytes/Token</t>
        </is>
      </c>
      <c r="N65" t="inlineStr">
        <is>
          <t>HBM占用1/4、SSD需求1/8</t>
        </is>
      </c>
      <c r="O65" t="inlineStr">
        <is>
          <t>官方称累计缩小约437倍</t>
        </is>
      </c>
      <c r="Q65" t="inlineStr">
        <is>
          <t>据腾讯科技企鹅智库AI周观察整理：DeepSeek 9月10日发布V4.1 Flash，核心无争议进步是KV Cache——全局缓存压到约890 bytes/Token，相比上代HBM占用降至四分之一、SSD存储需求降至八分之一；对长任务Agent意味着同样硬件可保留更多上下文并压低推理成本。文中同时提示Benchmark领先含Harness适配成分。</t>
        </is>
      </c>
      <c r="R65" t="inlineStr">
        <is>
          <t>下钻DeepSeek官方模型卡与社区Harness讨论；与量子位KV Cache主题卡互为印证。</t>
        </is>
      </c>
      <c r="S65" t="inlineStr">
        <is>
          <t>待核验</t>
        </is>
      </c>
      <c r="U65" t="inlineStr">
        <is>
          <t>据腾讯科技观点整理；公众号原文无公开直链</t>
        </is>
      </c>
    </row>
    <row r="66">
      <c r="A66" t="inlineStr">
        <is>
          <t>INT-20260917-077</t>
        </is>
      </c>
      <c r="B66" t="inlineStr">
        <is>
          <t>2026-09-15</t>
        </is>
      </c>
      <c r="C66" t="inlineStr">
        <is>
          <t>2026-09-17</t>
        </is>
      </c>
      <c r="D66" t="inlineStr">
        <is>
          <t>SRC005</t>
        </is>
      </c>
      <c r="E66" t="inlineStr">
        <is>
          <t>腾讯科技</t>
        </is>
      </c>
      <c r="F66" t="inlineStr">
        <is>
          <t>Google与Accenture组建最多1000人FDE队伍，企业AI瓶颈转向流程改造</t>
        </is>
      </c>
      <c r="H66" t="inlineStr">
        <is>
          <t>AI垂直类</t>
        </is>
      </c>
      <c r="I66" t="inlineStr">
        <is>
          <t>T-IND-001</t>
        </is>
      </c>
      <c r="J66" t="inlineStr">
        <is>
          <t>Google</t>
        </is>
      </c>
      <c r="K66" t="n">
        <v>4</v>
      </c>
      <c r="L66" t="inlineStr">
        <is>
          <t>Accenture Gemini Enterprise Business Group</t>
        </is>
      </c>
      <c r="M66" t="inlineStr">
        <is>
          <t>最多1000名前线部署工程师</t>
        </is>
      </c>
      <c r="N66" t="inlineStr">
        <is>
          <t>4月已启动Gemini Enterprise Acceleration Program</t>
        </is>
      </c>
      <c r="O66" t="inlineStr">
        <is>
          <t>Accenture约5万Google Cloud技能人才为底座</t>
        </is>
      </c>
      <c r="Q66" t="inlineStr">
        <is>
          <t>据腾讯科技企鹅智库AI周观察整理：Google Cloud与Accenture 9月8日成立联合业务组织，计划建立最多1000人的Forward-Deployed Engineer团队，直接进入客户组织梳理流程、连接旧系统并推进Agent到生产环境；文章判断企业AI瓶颈正从模型转向流程改造，咨询公司成为AI企业化渠道。</t>
        </is>
      </c>
      <c r="R66" t="inlineStr">
        <is>
          <t>下钻Google Cloud官方公告；与Google AIO/AIM主题与云业务叙事交叉验证。</t>
        </is>
      </c>
      <c r="S66" t="inlineStr">
        <is>
          <t>待核验</t>
        </is>
      </c>
      <c r="U66" t="inlineStr">
        <is>
          <t>据腾讯科技观点整理；公众号原文无公开直链</t>
        </is>
      </c>
    </row>
    <row r="67">
      <c r="A67" t="inlineStr">
        <is>
          <t>INT-20260917-078</t>
        </is>
      </c>
      <c r="B67" t="inlineStr">
        <is>
          <t>2026-09-16</t>
        </is>
      </c>
      <c r="C67" t="inlineStr">
        <is>
          <t>2026-09-17</t>
        </is>
      </c>
      <c r="E67" t="inlineStr">
        <is>
          <t>网络资讯</t>
        </is>
      </c>
      <c r="F67" t="inlineStr">
        <is>
          <t>美债10年期收益率破5%叠加费半单日重挫5.9%，AI定价逻辑转向追问资本开支回报</t>
        </is>
      </c>
      <c r="H67" t="inlineStr">
        <is>
          <t>网络资讯</t>
        </is>
      </c>
      <c r="I67" t="inlineStr">
        <is>
          <t>T-CAPEX-001</t>
        </is>
      </c>
      <c r="J67" t="inlineStr">
        <is>
          <t>行业</t>
        </is>
      </c>
      <c r="K67" t="n">
        <v>4</v>
      </c>
      <c r="L67" t="inlineStr">
        <is>
          <t>10年期美债收益率突破5%（近三年首次）</t>
        </is>
      </c>
      <c r="M67" t="inlineStr">
        <is>
          <t>9月14日费城半导体指数-5.9%</t>
        </is>
      </c>
      <c r="N67" t="inlineStr">
        <is>
          <t>保证金债务14个月+77%至1.502万亿美元</t>
        </is>
      </c>
      <c r="O67" t="inlineStr">
        <is>
          <t>定价转向现金流兑现速度</t>
        </is>
      </c>
      <c r="Q67" t="inlineStr">
        <is>
          <t>据公开财经媒体观点整理：9月14-16日多篇市场评论聚焦同一主线——AI需求未消失，但10年期美债收益率站上5%抬升折现率，市场从「卖铲子」转向追问AI资本开支的回报率与现金流兑现；9月15日芯片股迅速反弹说明市场交易的是估值审判而非需求崩溃。</t>
        </is>
      </c>
      <c r="R67" t="inlineStr">
        <is>
          <t>下钻FINRA保证金债务数据与FactSet盈利预测修订；与研报跟踪层GS/MS资本开支观点对照。</t>
        </is>
      </c>
      <c r="S67" t="inlineStr">
        <is>
          <t>待核验</t>
        </is>
      </c>
      <c r="U67" t="inlineStr">
        <is>
          <t>据公开财经媒体观点整理；无公开直链</t>
        </is>
      </c>
    </row>
    <row r="68">
      <c r="A68" t="inlineStr">
        <is>
          <t>INT-20260917-079</t>
        </is>
      </c>
      <c r="B68" t="inlineStr">
        <is>
          <t>2026-09-12</t>
        </is>
      </c>
      <c r="C68" t="inlineStr">
        <is>
          <t>2026-09-17</t>
        </is>
      </c>
      <c r="E68" t="inlineStr">
        <is>
          <t>网络资讯</t>
        </is>
      </c>
      <c r="F68" t="inlineStr">
        <is>
          <t>据报道Anthropic推进IPO：募资最高1000亿美元、目标估值约2万亿，英伟达拟锚定100亿</t>
        </is>
      </c>
      <c r="H68" t="inlineStr">
        <is>
          <t>网络资讯</t>
        </is>
      </c>
      <c r="I68" t="inlineStr">
        <is>
          <t>T-IND-001</t>
        </is>
      </c>
      <c r="J68" t="inlineStr">
        <is>
          <t>Anthropic</t>
        </is>
      </c>
      <c r="K68" t="n">
        <v>5</v>
      </c>
      <c r="L68" t="inlineStr">
        <is>
          <t>募资最高1000亿美元（路透）</t>
        </is>
      </c>
      <c r="M68" t="inlineStr">
        <is>
          <t>目标估值约2万亿美元</t>
        </is>
      </c>
      <c r="N68" t="inlineStr">
        <is>
          <t>英伟达拟以锚定投资者投入最多100亿</t>
        </is>
      </c>
      <c r="O68" t="inlineStr">
        <is>
          <t>年化收入7月底突破650亿美元</t>
        </is>
      </c>
      <c r="Q68" t="inlineStr">
        <is>
          <t>据公开财经媒体援引路透社整理：Anthropic计划募资最高1000亿美元、目标估值约2万亿美元，英伟达考虑以锚定投资者身份投入最多100亿美元；若落地将成史上最大IPO。文中测算2万亿美元对应约31倍市销率，估值高度依赖2028年收入预测。</t>
        </is>
      </c>
      <c r="R68" t="inlineStr">
        <is>
          <t>下钻路透原文与S-1进展；与看板Anthropic叙事页及「总额口径收入」事实交叉验证。</t>
        </is>
      </c>
      <c r="S68" t="inlineStr">
        <is>
          <t>待核验</t>
        </is>
      </c>
      <c r="U68" t="inlineStr">
        <is>
          <t>据公开媒体转述路透报道；无公开直链</t>
        </is>
      </c>
    </row>
    <row r="69">
      <c r="A69" t="inlineStr">
        <is>
          <t>INT-20260917-080</t>
        </is>
      </c>
      <c r="B69" t="inlineStr">
        <is>
          <t>2026-09-11</t>
        </is>
      </c>
      <c r="C69" t="inlineStr">
        <is>
          <t>2026-09-17</t>
        </is>
      </c>
      <c r="E69" t="inlineStr">
        <is>
          <t>网络资讯</t>
        </is>
      </c>
      <c r="F69" t="inlineStr">
        <is>
          <t>甲骨文FY27Q1：RPO 6640亿美元、单季capex 285亿、FCF转负54亿</t>
        </is>
      </c>
      <c r="H69" t="inlineStr">
        <is>
          <t>网络资讯</t>
        </is>
      </c>
      <c r="I69" t="inlineStr">
        <is>
          <t>T-CAPEX-001</t>
        </is>
      </c>
      <c r="J69" t="inlineStr">
        <is>
          <t>行业</t>
        </is>
      </c>
      <c r="K69" t="n">
        <v>4</v>
      </c>
      <c r="L69" t="inlineStr">
        <is>
          <t>RPO 6640亿美元（约为全年收入指引7倍）</t>
        </is>
      </c>
      <c r="M69" t="inlineStr">
        <is>
          <t>单季capex 285亿美元、FCF -54亿</t>
        </is>
      </c>
      <c r="N69" t="inlineStr">
        <is>
          <t>OCI收入+121%、算力基础设施+151%</t>
        </is>
      </c>
      <c r="O69" t="inlineStr">
        <is>
          <t>到期续约GPU平均溢价20%、利用率97.9%</t>
        </is>
      </c>
      <c r="Q69" t="inlineStr">
        <is>
          <t>据格隆汇研究院整理：甲骨文FY27Q1单季收入193亿美元（+30%），在手订单飙至6640亿美元；单季资本开支285亿美元砸出-54亿美元自由现金流，并完成200亿美元股权融资。财报数据同时显示到期续约与转售GPU平均溢价20%、多数已服役超4年仍保持97.9%利用率，挑战「GPU三年残值归零」假设。</t>
        </is>
      </c>
      <c r="R69" t="inlineStr">
        <is>
          <t>下钻甲骨文官方新闻稿与10-Q；与Capex主题「GPU残值与折旧口径」论点交叉验证。</t>
        </is>
      </c>
      <c r="S69" t="inlineStr">
        <is>
          <t>待核验</t>
        </is>
      </c>
      <c r="U69" t="inlineStr">
        <is>
          <t>据格隆汇研究院观点整理；无公开直链</t>
        </is>
      </c>
    </row>
    <row r="70">
      <c r="A70" t="inlineStr">
        <is>
          <t>INT-20260917-081</t>
        </is>
      </c>
      <c r="B70" t="inlineStr">
        <is>
          <t>2026-09-12</t>
        </is>
      </c>
      <c r="C70" t="inlineStr">
        <is>
          <t>2026-09-17</t>
        </is>
      </c>
      <c r="E70" t="inlineStr">
        <is>
          <t>网络资讯</t>
        </is>
      </c>
      <c r="F70" t="inlineStr">
        <is>
          <t>黄仁勋重申：2030年全球AI基础设施年支出将达3-4万亿美元</t>
        </is>
      </c>
      <c r="H70" t="inlineStr">
        <is>
          <t>网络资讯</t>
        </is>
      </c>
      <c r="I70" t="inlineStr">
        <is>
          <t>T-CAPEX-001</t>
        </is>
      </c>
      <c r="J70" t="inlineStr">
        <is>
          <t>行业</t>
        </is>
      </c>
      <c r="K70" t="n">
        <v>4</v>
      </c>
      <c r="L70" t="inlineStr">
        <is>
          <t>2030年AI基础设施年支出3-4万亿美元</t>
        </is>
      </c>
      <c r="M70" t="inlineStr">
        <is>
          <t>电力/内存/建设制约或延续至2028年</t>
        </is>
      </c>
      <c r="N70" t="inlineStr">
        <is>
          <t>回应循环融资质疑：投入少回报大</t>
        </is>
      </c>
      <c r="O70" t="inlineStr">
        <is>
          <t>客户从token最大化转向token优化</t>
        </is>
      </c>
      <c r="Q70" t="inlineStr">
        <is>
          <t>据高盛科技大会报道整理（9月10日场）：黄仁勋重申到2030年全球AI基础设施年支出将达3万亿至4万亿美元，称AI工厂是新型生产资产；高盛交易团队指出电力、内存、数据中心建设产能制约可能令算力供不应求延续至2028年，并观察到客户正从追求token用量转向以投资回报为导向的token优化。</t>
        </is>
      </c>
      <c r="R70" t="inlineStr">
        <is>
          <t>下钻高盛会纪要原文；与Capex主题及MS/GS算力供需判断对照。</t>
        </is>
      </c>
      <c r="S70" t="inlineStr">
        <is>
          <t>待核验</t>
        </is>
      </c>
      <c r="U70" t="inlineStr">
        <is>
          <t>据公开报道整理；无公开直链</t>
        </is>
      </c>
    </row>
    <row r="71">
      <c r="A71" t="inlineStr">
        <is>
          <t>INT-20260917-082</t>
        </is>
      </c>
      <c r="B71" t="inlineStr">
        <is>
          <t>2026-09-12</t>
        </is>
      </c>
      <c r="C71" t="inlineStr">
        <is>
          <t>2026-09-17</t>
        </is>
      </c>
      <c r="E71" t="inlineStr">
        <is>
          <t>网络资讯</t>
        </is>
      </c>
      <c r="F71" t="inlineStr">
        <is>
          <t>国常会部署算力网：完善算力基础设施、算电协同、骨干光纤网络</t>
        </is>
      </c>
      <c r="H71" t="inlineStr">
        <is>
          <t>网络资讯</t>
        </is>
      </c>
      <c r="I71" t="inlineStr">
        <is>
          <t>T-CAPEX-001</t>
        </is>
      </c>
      <c r="J71" t="inlineStr">
        <is>
          <t>行业</t>
        </is>
      </c>
      <c r="K71" t="n">
        <v>3</v>
      </c>
      <c r="L71" t="inlineStr">
        <is>
          <t>算力网是AI发展基础支撑</t>
        </is>
      </c>
      <c r="M71" t="inlineStr">
        <is>
          <t>推动算电协同、算网融合</t>
        </is>
      </c>
      <c r="N71" t="inlineStr">
        <is>
          <t>加强算力资源监测调度</t>
        </is>
      </c>
      <c r="O71" t="inlineStr">
        <is>
          <t>加快绿电直连、源网荷储落地</t>
        </is>
      </c>
      <c r="Q71" t="inlineStr">
        <is>
          <t>据公开报道整理：9月国常会指出算力网是人工智能发展的基础支撑，要求完善算力基础设施、推进关键技术研发应用、构建多层次网络化算力体系，推动算电协同与骨干光纤网络建设，加快绿电直连等项目落地。</t>
        </is>
      </c>
      <c r="R71" t="inlineStr">
        <is>
          <t>下钻国常会通稿原文；与中国AI capex主题及国产算力链判断对照。</t>
        </is>
      </c>
      <c r="S71" t="inlineStr">
        <is>
          <t>待核验</t>
        </is>
      </c>
      <c r="U71" t="inlineStr">
        <is>
          <t>据公开报道整理；无公开直链</t>
        </is>
      </c>
    </row>
    <row r="72">
      <c r="A72" t="inlineStr">
        <is>
          <t>INT-20260917-083</t>
        </is>
      </c>
      <c r="B72" t="inlineStr">
        <is>
          <t>2026-09-14</t>
        </is>
      </c>
      <c r="C72" t="inlineStr">
        <is>
          <t>2026-09-17</t>
        </is>
      </c>
      <c r="E72" t="inlineStr">
        <is>
          <t>网络资讯</t>
        </is>
      </c>
      <c r="F72" t="inlineStr">
        <is>
          <t>国信证券测算：2027年全球实际落地算力约30-37GW，仅为芯片理论量50-60%</t>
        </is>
      </c>
      <c r="H72" t="inlineStr">
        <is>
          <t>网络资讯</t>
        </is>
      </c>
      <c r="I72" t="inlineStr">
        <is>
          <t>T-CAPEX-001</t>
        </is>
      </c>
      <c r="J72" t="inlineStr">
        <is>
          <t>行业</t>
        </is>
      </c>
      <c r="K72" t="n">
        <v>5</v>
      </c>
      <c r="L72" t="inlineStr">
        <is>
          <t>2026年全球AI资本开支约1.3万亿美元</t>
        </is>
      </c>
      <c r="M72" t="inlineStr">
        <is>
          <t>2027年实际落地约30-37GW（芯片理论量50-60%）</t>
        </is>
      </c>
      <c r="N72" t="inlineStr">
        <is>
          <t>Anthropic+OpenAI占用超10GW、每GW约100亿美元年收入</t>
        </is>
      </c>
      <c r="O72" t="inlineStr">
        <is>
          <t>北美租赁占新增容量超45%</t>
        </is>
      </c>
      <c r="Q72" t="inlineStr">
        <is>
          <t>据报告研究所转载国信证券测算：综合芯片出货、电力、建设能力与资本开支四重约束，2027年全球实际落地算力约30-37GW，显著低于芯片出货对应理论量；2026年Anthropic与OpenAI合计占用超10GW算力、每GW贡献约100亿美元年收入（训练推理各半），两家合计算力支出超千亿美元。</t>
        </is>
      </c>
      <c r="R72" t="inlineStr">
        <is>
          <t>下钻国信证券原报告；与看板算力供需五判断及GW三口径防混规则核对。</t>
        </is>
      </c>
      <c r="S72" t="inlineStr">
        <is>
          <t>待核验</t>
        </is>
      </c>
      <c r="U72" t="inlineStr">
        <is>
          <t>据国信证券报告转述（报告研究所转载）；无公开直链</t>
        </is>
      </c>
    </row>
    <row r="73">
      <c r="A73" t="inlineStr">
        <is>
          <t>INT-20260917-084</t>
        </is>
      </c>
      <c r="B73" t="inlineStr">
        <is>
          <t>2026-09-14</t>
        </is>
      </c>
      <c r="C73" t="inlineStr">
        <is>
          <t>2026-09-17</t>
        </is>
      </c>
      <c r="E73" t="inlineStr">
        <is>
          <t>海豚研究（海豚投研）</t>
        </is>
      </c>
      <c r="F73" t="inlineStr">
        <is>
          <t>大摩测算：中国AI五年8.5万亿资本开支，算力26GW增至81GW</t>
        </is>
      </c>
      <c r="H73" t="inlineStr">
        <is>
          <t>AI垂直类</t>
        </is>
      </c>
      <c r="I73" t="inlineStr">
        <is>
          <t>T-CAPEX-001</t>
        </is>
      </c>
      <c r="J73" t="inlineStr">
        <is>
          <t>行业</t>
        </is>
      </c>
      <c r="K73" t="n">
        <v>5</v>
      </c>
      <c r="L73" t="inlineStr">
        <is>
          <t>2026-2030年中国AI总capex 8.5万亿元</t>
        </is>
      </c>
      <c r="M73" t="inlineStr">
        <is>
          <t>算力2025年26GW→2030年81GW</t>
        </is>
      </c>
      <c r="N73" t="inlineStr">
        <is>
          <t>国产AI芯片出货110万→1100万颗</t>
        </is>
      </c>
      <c r="O73" t="inlineStr">
        <is>
          <t>阿里腾讯各新增6-9GW</t>
        </is>
      </c>
      <c r="Q73" t="inlineStr">
        <is>
          <t>据海豚投研整理摩根士丹利2026年9月13日中国AI产业报告：2026-2030年中国AI全行业总资本开支8.5万亿人民币，其中超大规模互联网厂商6.3万亿占约四分之三；IT算力规模从2025年26GW增至2030年81GW，增量七成落在西部；国产AI芯片出货2025年110万颗增至2030年1100万颗，部署周期内占服务器总量70-85%。</t>
        </is>
      </c>
      <c r="R73" t="inlineStr">
        <is>
          <t>下钻MS原报告《China's AI Path: From Rmb8.5tr Capex to 3x Compute》；与中国公司capex官方口径交叉验证。</t>
        </is>
      </c>
      <c r="S73" t="inlineStr">
        <is>
          <t>待核验</t>
        </is>
      </c>
      <c r="U73" t="inlineStr">
        <is>
          <t>据海豚投研整理大摩报告；公众号原文无公开直链</t>
        </is>
      </c>
    </row>
    <row r="74">
      <c r="A74" t="inlineStr">
        <is>
          <t>INT-20260917-085</t>
        </is>
      </c>
      <c r="B74" t="inlineStr">
        <is>
          <t>2026-09-11</t>
        </is>
      </c>
      <c r="C74" t="inlineStr">
        <is>
          <t>2026-09-17</t>
        </is>
      </c>
      <c r="E74" t="inlineStr">
        <is>
          <t>海豚研究（海豚投研）</t>
        </is>
      </c>
      <c r="F74" t="inlineStr">
        <is>
          <t>大摩拆解Muse：增量商业化价值未计入估值，谷歌搜索直面分流变量</t>
        </is>
      </c>
      <c r="H74" t="inlineStr">
        <is>
          <t>AI垂直类</t>
        </is>
      </c>
      <c r="I74" t="inlineStr">
        <is>
          <t>T-MUSE-001</t>
        </is>
      </c>
      <c r="J74" t="inlineStr">
        <is>
          <t>Meta</t>
        </is>
      </c>
      <c r="K74" t="n">
        <v>5</v>
      </c>
      <c r="L74" t="inlineStr">
        <is>
          <t>Muse增量可商业化价值未打进估值</t>
        </is>
      </c>
      <c r="M74" t="inlineStr">
        <is>
          <t>2028年全球消费支出TAM约32万亿美元</t>
        </is>
      </c>
      <c r="N74" t="inlineStr">
        <is>
          <t>已接入Gmail、OpenTable、Shopify</t>
        </is>
      </c>
      <c r="O74" t="inlineStr">
        <is>
          <t>关键信号：用户采用数据+可商业化行为跑通</t>
        </is>
      </c>
      <c r="Q74" t="inlineStr">
        <is>
          <t>据海豚投研整理摩根士丹利北美科技报告（2026年9月）：Muse带来的增量可商业化行为是Meta当前股价中最大的未定价期权之一，市场需看到真实用户渗透与可落地的商业化行为才会重新定价；Muse对接入Gmail、OpenTable、Shopify等主流消费应用的跨应用打通是Agent价值基础；对谷歌，Agent形态改变用户获取信息路径，搜索入口价值稀释是核心变量。按口径剔除评级与目标价。</t>
        </is>
      </c>
      <c r="R74" t="inlineStr">
        <is>
          <t>下钻MS原报告；与看板Muse专题及市场反馈层对照。</t>
        </is>
      </c>
      <c r="S74" t="inlineStr">
        <is>
          <t>待核验</t>
        </is>
      </c>
      <c r="U74" t="inlineStr">
        <is>
          <t>据海豚投研整理大摩报告；公众号原文无公开直链</t>
        </is>
      </c>
    </row>
    <row r="75">
      <c r="A75" t="inlineStr">
        <is>
          <t>INT-20260917-086</t>
        </is>
      </c>
      <c r="B75" t="inlineStr">
        <is>
          <t>2026-09-16</t>
        </is>
      </c>
      <c r="C75" t="inlineStr">
        <is>
          <t>2026-09-17</t>
        </is>
      </c>
      <c r="E75" t="inlineStr">
        <is>
          <t>网络资讯</t>
        </is>
      </c>
      <c r="F75" t="inlineStr">
        <is>
          <t>Meta One订阅包全球推出：Muse驱动，个人套餐7.99/19.99美元两档</t>
        </is>
      </c>
      <c r="H75" t="inlineStr">
        <is>
          <t>网络资讯</t>
        </is>
      </c>
      <c r="I75" t="inlineStr">
        <is>
          <t>T-MUSE-001</t>
        </is>
      </c>
      <c r="J75" t="inlineStr">
        <is>
          <t>Meta</t>
        </is>
      </c>
      <c r="K75" t="n">
        <v>4</v>
      </c>
      <c r="L75" t="inlineStr">
        <is>
          <t>Meta One订阅全球推出</t>
        </is>
      </c>
      <c r="M75" t="inlineStr">
        <is>
          <t>个人套餐7.99与19.99美元两档</t>
        </is>
      </c>
      <c r="N75" t="inlineStr">
        <is>
          <t>聊天、创作与设备助手统一订阅</t>
        </is>
      </c>
      <c r="O75" t="inlineStr">
        <is>
          <t>个人智能体进入规模化收费阶段</t>
        </is>
      </c>
      <c r="Q75" t="inlineStr">
        <is>
          <t>据公开报道整理：Meta将Meta One订阅包向全球推出，提供由Muse驱动的增强AI能力，个人套餐定价每月7.99与19.99美元，把聊天、创作与设备助手整合进统一订阅。这是Muse发布后商业化路径的实质一步，与看板「订阅模式为产品特色第1点」的既有判断直接相关。</t>
        </is>
      </c>
      <c r="R75" t="inlineStr">
        <is>
          <t>下钻Meta官方公告核对定价与权益分层；与Muse专题订阅模式论点交叉验证。</t>
        </is>
      </c>
      <c r="S75" t="inlineStr">
        <is>
          <t>待核验</t>
        </is>
      </c>
      <c r="U75" t="inlineStr">
        <is>
          <t>据公开报道整理；无公开直链</t>
        </is>
      </c>
    </row>
    <row r="76">
      <c r="A76" t="inlineStr">
        <is>
          <t>INT-20260917-087</t>
        </is>
      </c>
      <c r="B76" t="inlineStr">
        <is>
          <t>2026-09-16</t>
        </is>
      </c>
      <c r="C76" t="inlineStr">
        <is>
          <t>2026-09-17</t>
        </is>
      </c>
      <c r="E76" t="inlineStr">
        <is>
          <t>AI前线</t>
        </is>
      </c>
      <c r="F76" t="inlineStr">
        <is>
          <t>Dreamforce三CEO同台：Amodei控速、Altman称安全不依赖同行、黄仁勋称能跑多快跑多快</t>
        </is>
      </c>
      <c r="H76" t="inlineStr">
        <is>
          <t>财经类</t>
        </is>
      </c>
      <c r="I76" t="inlineStr">
        <is>
          <t>T-IND-001</t>
        </is>
      </c>
      <c r="J76" t="inlineStr">
        <is>
          <t>行业</t>
        </is>
      </c>
      <c r="K76" t="n">
        <v>4</v>
      </c>
      <c r="L76" t="inlineStr">
        <is>
          <t>Amodei：产业兑现仅这代技术潜在水位5-10%</t>
        </is>
      </c>
      <c r="M76" t="inlineStr">
        <is>
          <t>Amodei三层安全构想（常驻评估/行业协调/国际协同）</t>
        </is>
      </c>
      <c r="N76" t="inlineStr">
        <is>
          <t>Altman：安全是单方面绝对责任</t>
        </is>
      </c>
      <c r="O76" t="inlineStr">
        <is>
          <t>黄仁勋：安全是工程问题，产业「能跑多快就跑多快」</t>
        </is>
      </c>
      <c r="Q76" t="inlineStr">
        <is>
          <t>据AI前线整理：9月15日Dreamforce现场Amodei、Altman、黄仁勋同台。Amodei称即使前沿模型停止演进，产业界兑现的价值也只有这代技术潜在水位的5-10%，并给出三层安全机制构想；Altman反对「对手减速我们才减速」的逻辑；黄仁勋称安全是工程问题、反对全行业集体降速。同场披露OpenAI、Anthropic与Google DeepMind已就安全底线闭门沟通数周。</t>
        </is>
      </c>
      <c r="R76" t="inlineStr">
        <is>
          <t>下钻Dreamforce全程视频与Amodei长文；与腾讯科技周观察卡及OpenAI/Anthropic叙事页交叉验证。</t>
        </is>
      </c>
      <c r="S76" t="inlineStr">
        <is>
          <t>待核验</t>
        </is>
      </c>
      <c r="U76" t="inlineStr">
        <is>
          <t>据AI前线整理；无公开直链</t>
        </is>
      </c>
    </row>
    <row r="77">
      <c r="A77" t="inlineStr">
        <is>
          <t>INT-20260916-024</t>
        </is>
      </c>
      <c r="B77" t="inlineStr">
        <is>
          <t>2026-09-10</t>
        </is>
      </c>
      <c r="C77" t="inlineStr">
        <is>
          <t>2026-09-16</t>
        </is>
      </c>
      <c r="E77" t="inlineStr">
        <is>
          <t>公众号·北美四巨头收官</t>
        </is>
      </c>
      <c r="F77" t="inlineStr">
        <is>
          <t>北美四巨头收官：不卷大模型的两家被奖励</t>
        </is>
      </c>
      <c r="H77" t="inlineStr">
        <is>
          <t>B</t>
        </is>
      </c>
      <c r="I77" t="inlineStr">
        <is>
          <t>T-CAPEX-001</t>
        </is>
      </c>
      <c r="J77" t="inlineStr">
        <is>
          <t>Microsoft/Amazon</t>
        </is>
      </c>
      <c r="K77" t="n">
        <v>4</v>
      </c>
      <c r="L77" t="inlineStr">
        <is>
          <t>Q2季后亚马逊/微软盘后分别+10%/+15%，谷歌/Meta -7%/-8%</t>
        </is>
      </c>
      <c r="M77" t="inlineStr">
        <is>
          <t>微软轻大模型投入，云业务增长与回报率好，被市场奖励</t>
        </is>
      </c>
      <c r="N77" t="inlineStr">
        <is>
          <t>微软与亚马逊受益开源模型走红，capex回报清晰（卖铲子）</t>
        </is>
      </c>
      <c r="O77" t="inlineStr">
        <is>
          <t>Meta今年capex接近上年收入75%，商业模式多数仍在PPT阶段</t>
        </is>
      </c>
      <c r="Q77" t="inlineStr">
        <is>
          <t>公众号复盘四巨头Q2：市场按资本开支回报率区分定价，微软因云增长与回报清晰获奖励。</t>
        </is>
      </c>
      <c r="R77" t="inlineStr">
        <is>
          <t>B类留要点；与MS Guidebook三路径回报口径和JPM Backlog/Capex视角勾稽。</t>
        </is>
      </c>
      <c r="S77" t="inlineStr">
        <is>
          <t>全文已缓存</t>
        </is>
      </c>
      <c r="T77" t="inlineStr">
        <is>
          <t>hi work</t>
        </is>
      </c>
      <c r="U77" t="inlineStr">
        <is>
          <t>原文经微信直取缓存于本地；公众号账号名待补录；无公开直链，不作为全文核验依据。</t>
        </is>
      </c>
    </row>
    <row r="78">
      <c r="A78" t="inlineStr">
        <is>
          <t>INT-20260918-088</t>
        </is>
      </c>
      <c r="B78" t="inlineStr">
        <is>
          <t>2026-09-18</t>
        </is>
      </c>
      <c r="C78" t="inlineStr">
        <is>
          <t>2026-09-18</t>
        </is>
      </c>
      <c r="D78" t="inlineStr">
        <is>
          <t>SRC004</t>
        </is>
      </c>
      <c r="E78" t="inlineStr">
        <is>
          <t>虎嗅</t>
        </is>
      </c>
      <c r="F78" t="inlineStr">
        <is>
          <t>AI时代的3种人与3种城市，你要做哪一种？</t>
        </is>
      </c>
      <c r="G78" t="inlineStr">
        <is>
          <t>https://m.huxiu.com/article/4892152.html</t>
        </is>
      </c>
      <c r="H78" t="inlineStr">
        <is>
          <t>AI垂直类</t>
        </is>
      </c>
      <c r="I78" t="inlineStr">
        <is>
          <t>T-IND-001</t>
        </is>
      </c>
      <c r="J78" t="inlineStr">
        <is>
          <t>行业</t>
        </is>
      </c>
      <c r="K78" t="n">
        <v>3</v>
      </c>
      <c r="L78" t="inlineStr">
        <is>
          <t>AI时代的3种人与3种城市</t>
        </is>
      </c>
      <c r="M78" t="inlineStr">
        <is>
          <t>你要做哪一种？-虎嗅网2026-09-1808:18AI时代的3种人与3种城市</t>
        </is>
      </c>
      <c r="N78" t="inlineStr">
        <is>
          <t>现在阅读量超过300万，收藏比点赞多40倍</t>
        </is>
      </c>
      <c r="Q78" t="inlineStr">
        <is>
          <t>AI时代的3种人与3种城市，你要做哪一种？-虎嗅网2026-09-1808:18AI时代的3种人与3种城市，你要做哪一种？TOP创新区研究院©速览本文来自微信公众号：TOP创新区研究院，作者：趋势研究组最近英文互联网上有…</t>
        </is>
      </c>
      <c r="R78" t="inlineStr">
        <is>
          <t>自动抓取条目；下钻原文并人工核对归属公司与口径。</t>
        </is>
      </c>
      <c r="S78" t="inlineStr">
        <is>
          <t>全文已缓存</t>
        </is>
      </c>
      <c r="U78" t="inlineStr">
        <is>
          <t>自动爬取·待人工复核</t>
        </is>
      </c>
    </row>
    <row r="79">
      <c r="A79" t="inlineStr">
        <is>
          <t>INT-20260918-089</t>
        </is>
      </c>
      <c r="B79" t="inlineStr">
        <is>
          <t>2026-09-18</t>
        </is>
      </c>
      <c r="C79" t="inlineStr">
        <is>
          <t>2026-09-18</t>
        </is>
      </c>
      <c r="D79" t="inlineStr">
        <is>
          <t>SRC004</t>
        </is>
      </c>
      <c r="E79" t="inlineStr">
        <is>
          <t>虎嗅</t>
        </is>
      </c>
      <c r="F79" t="inlineStr">
        <is>
          <t>从谷歌到字节，每个大厂，终将拥有一家药厂</t>
        </is>
      </c>
      <c r="G79" t="inlineStr">
        <is>
          <t>https://m.huxiu.com/article/4892145.html</t>
        </is>
      </c>
      <c r="H79" t="inlineStr">
        <is>
          <t>AI垂直类</t>
        </is>
      </c>
      <c r="I79" t="inlineStr">
        <is>
          <t>T-IND-001</t>
        </is>
      </c>
      <c r="J79" t="inlineStr">
        <is>
          <t>行业</t>
        </is>
      </c>
      <c r="K79" t="n">
        <v>4</v>
      </c>
      <c r="L79" t="inlineStr">
        <is>
          <t>终将拥有一家药厂-虎嗅网2026-09-1807:37从谷歌到字节</t>
        </is>
      </c>
      <c r="M79" t="inlineStr">
        <is>
          <t>作者：曜叔9月16日</t>
        </is>
      </c>
      <c r="N79" t="inlineStr">
        <is>
          <t>首轮外部融资2.9亿美元，投后估值约15亿美元</t>
        </is>
      </c>
      <c r="Q79" t="inlineStr">
        <is>
          <t>从谷歌到字节，每个大厂，终将拥有一家药厂-虎嗅网2026-09-1807:37从谷歌到字节，每个大厂，终将拥有一家药厂医曜速览本文来自微信公众号：医曜，作者：曜叔9月16日，路透社放出消息：字节跳动把内部的AI制药团队拆…</t>
        </is>
      </c>
      <c r="R79" t="inlineStr">
        <is>
          <t>自动抓取条目；下钻原文并人工核对归属公司与口径。</t>
        </is>
      </c>
      <c r="S79" t="inlineStr">
        <is>
          <t>全文已缓存</t>
        </is>
      </c>
      <c r="U79" t="inlineStr">
        <is>
          <t>自动爬取·待人工复核</t>
        </is>
      </c>
    </row>
    <row r="80">
      <c r="A80" t="inlineStr">
        <is>
          <t>INT-20260918-090</t>
        </is>
      </c>
      <c r="B80" t="inlineStr">
        <is>
          <t>2026-09-18</t>
        </is>
      </c>
      <c r="C80" t="inlineStr">
        <is>
          <t>2026-09-18</t>
        </is>
      </c>
      <c r="D80" t="inlineStr">
        <is>
          <t>SRC002</t>
        </is>
      </c>
      <c r="E80" t="inlineStr">
        <is>
          <t>量子位</t>
        </is>
      </c>
      <c r="F80" t="inlineStr">
        <is>
          <t>从“会回答”到“会办事”，vivo如何解AI手机这道题？ – 量子位</t>
        </is>
      </c>
      <c r="G80" t="inlineStr">
        <is>
          <t>https://www.qbitai.com/2026/09/491649.html</t>
        </is>
      </c>
      <c r="H80" t="inlineStr">
        <is>
          <t>AI垂直类</t>
        </is>
      </c>
      <c r="I80" t="inlineStr">
        <is>
          <t>T-IND-001</t>
        </is>
      </c>
      <c r="J80" t="inlineStr">
        <is>
          <t>行业</t>
        </is>
      </c>
      <c r="K80" t="n">
        <v>3</v>
      </c>
      <c r="L80" t="inlineStr">
        <is>
          <t>vivo如何解AI手机这道题？梦瑶2026-09-1720:03:24来源：量子位构建个体专属AI助理梦</t>
        </is>
      </c>
      <c r="Q80" t="inlineStr">
        <is>
          <t>从“会回答”到“会办事”，vivo如何解AI手机这道题？–量子位首页资讯智能车智库活动MEET大会AIGC扫码关注量子位--&gt;从“会回答”到“会办事”，vivo如何解AI手机这道题？梦瑶2026-09-1720:03:2…</t>
        </is>
      </c>
      <c r="R80" t="inlineStr">
        <is>
          <t>自动抓取条目；下钻原文并人工核对归属公司与口径。</t>
        </is>
      </c>
      <c r="S80" t="inlineStr">
        <is>
          <t>全文已缓存</t>
        </is>
      </c>
      <c r="U80" t="inlineStr">
        <is>
          <t>自动爬取·待人工复核</t>
        </is>
      </c>
    </row>
    <row r="81">
      <c r="A81" t="inlineStr">
        <is>
          <t>INT-20260918-091</t>
        </is>
      </c>
      <c r="B81" t="inlineStr">
        <is>
          <t>2026-09-18</t>
        </is>
      </c>
      <c r="C81" t="inlineStr">
        <is>
          <t>2026-09-18</t>
        </is>
      </c>
      <c r="D81" t="inlineStr">
        <is>
          <t>SRC002</t>
        </is>
      </c>
      <c r="E81" t="inlineStr">
        <is>
          <t>量子位</t>
        </is>
      </c>
      <c r="F81" t="inlineStr">
        <is>
          <t>Claude Code团队讲究啊，这都往外说 – 量子位</t>
        </is>
      </c>
      <c r="G81" t="inlineStr">
        <is>
          <t>https://www.qbitai.com/2026/09/491596.html</t>
        </is>
      </c>
      <c r="H81" t="inlineStr">
        <is>
          <t>AI垂直类</t>
        </is>
      </c>
      <c r="I81" t="inlineStr">
        <is>
          <t>T-IND-001</t>
        </is>
      </c>
      <c r="J81" t="inlineStr">
        <is>
          <t>行业</t>
        </is>
      </c>
      <c r="K81" t="n">
        <v>3</v>
      </c>
      <c r="L81" t="inlineStr">
        <is>
          <t>这都往外说衡宇2026-09-1719:56:13来源：量子位工程师的核心永远是Probl</t>
        </is>
      </c>
      <c r="M81" t="inlineStr">
        <is>
          <t>当前已经将70%-8</t>
        </is>
      </c>
      <c r="Q81" t="inlineStr">
        <is>
          <t>ClaudeCode团队讲究啊，这都往外说–量子位首页资讯智能车智库活动MEET大会AIGC扫码关注量子位--&gt;ClaudeCode团队讲究啊，这都往外说衡宇2026-09-1719:56:13来源：量子位工程师的核心永…</t>
        </is>
      </c>
      <c r="R81" t="inlineStr">
        <is>
          <t>自动抓取条目；下钻原文并人工核对归属公司与口径。</t>
        </is>
      </c>
      <c r="S81" t="inlineStr">
        <is>
          <t>全文已缓存</t>
        </is>
      </c>
      <c r="U81" t="inlineStr">
        <is>
          <t>自动爬取·待人工复核</t>
        </is>
      </c>
    </row>
    <row r="82">
      <c r="A82" t="inlineStr">
        <is>
          <t>INT-20260921-092</t>
        </is>
      </c>
      <c r="B82" t="inlineStr">
        <is>
          <t>2026-09-21</t>
        </is>
      </c>
      <c r="C82" t="inlineStr">
        <is>
          <t>2026-09-21</t>
        </is>
      </c>
      <c r="D82" t="inlineStr">
        <is>
          <t>SRC004</t>
        </is>
      </c>
      <c r="E82" t="inlineStr">
        <is>
          <t>虎嗅</t>
        </is>
      </c>
      <c r="F82" t="inlineStr">
        <is>
          <t>当AI巨头开始在数学中圈地，数学家必须找准前进的方向</t>
        </is>
      </c>
      <c r="G82" t="inlineStr">
        <is>
          <t>https://m.huxiu.com/article/4892744.html</t>
        </is>
      </c>
      <c r="H82" t="inlineStr">
        <is>
          <t>AI垂直类</t>
        </is>
      </c>
      <c r="I82" t="inlineStr">
        <is>
          <t>T-IND-001</t>
        </is>
      </c>
      <c r="J82" t="inlineStr">
        <is>
          <t>行业</t>
        </is>
      </c>
      <c r="K82" t="n">
        <v>3</v>
      </c>
      <c r="L82" t="inlineStr">
        <is>
          <t>数学家必须找准前进的方向-虎嗅网2026-09-2108:15当AI巨头开始在数学中圈地</t>
        </is>
      </c>
      <c r="Q82" t="inlineStr">
        <is>
          <t>当AI巨头开始在数学中圈地，数学家必须找准前进的方向-虎嗅网2026-09-2108:15当AI巨头开始在数学中圈地，数学家必须找准前进的方向返朴速览本文来自微信公众号：返朴，作者：邵城阳当资本裹挟AI巨头企业席卷数学并…</t>
        </is>
      </c>
      <c r="R82" t="inlineStr">
        <is>
          <t>自动抓取条目；下钻原文并人工核对归属公司与口径。</t>
        </is>
      </c>
      <c r="S82" t="inlineStr">
        <is>
          <t>全文已缓存</t>
        </is>
      </c>
      <c r="U82" t="inlineStr">
        <is>
          <t>自动爬取·待人工复核</t>
        </is>
      </c>
    </row>
    <row r="83">
      <c r="A83" t="inlineStr">
        <is>
          <t>INT-20260921-093</t>
        </is>
      </c>
      <c r="B83" t="inlineStr">
        <is>
          <t>2026-09-21</t>
        </is>
      </c>
      <c r="C83" t="inlineStr">
        <is>
          <t>2026-09-21</t>
        </is>
      </c>
      <c r="D83" t="inlineStr">
        <is>
          <t>SRC004</t>
        </is>
      </c>
      <c r="E83" t="inlineStr">
        <is>
          <t>虎嗅</t>
        </is>
      </c>
      <c r="F83" t="inlineStr">
        <is>
          <t>递归算力资本周期：AI算力过剩会是必然结局吗？</t>
        </is>
      </c>
      <c r="G83" t="inlineStr">
        <is>
          <t>https://m.huxiu.com/article/4892742.html</t>
        </is>
      </c>
      <c r="H83" t="inlineStr">
        <is>
          <t>AI垂直类</t>
        </is>
      </c>
      <c r="I83" t="inlineStr">
        <is>
          <t>T-CAPEX-001</t>
        </is>
      </c>
      <c r="J83" t="inlineStr">
        <is>
          <t>行业</t>
        </is>
      </c>
      <c r="K83" t="n">
        <v>3</v>
      </c>
      <c r="L83" t="inlineStr">
        <is>
          <t>递归算力资本周期：AI算力过剩会是必然结局吗？-虎嗅网2026-09-2108:09递归算力资本周期：</t>
        </is>
      </c>
      <c r="M83" t="inlineStr">
        <is>
          <t>四大云厂商2026年资本开支合计约7250亿美元，比上一年涨77%</t>
        </is>
      </c>
      <c r="N83" t="inlineStr">
        <is>
          <t>高盛预测2025到2030年累计投入会到5.3万亿</t>
        </is>
      </c>
      <c r="Q83" t="inlineStr">
        <is>
          <t>递归算力资本周期：AI算力过剩会是必然结局吗？-虎嗅网2026-09-2108:09递归算力资本周期：AI算力过剩会是必然结局吗？AI超维度速览本文来自微信公众号：AI超维度，作者：北京汉·索罗过去这一年，全世界在以创纪…</t>
        </is>
      </c>
      <c r="R83" t="inlineStr">
        <is>
          <t>自动抓取条目；下钻原文并人工核对归属公司与口径。</t>
        </is>
      </c>
      <c r="S83" t="inlineStr">
        <is>
          <t>全文已缓存</t>
        </is>
      </c>
      <c r="U83" t="inlineStr">
        <is>
          <t>自动爬取·待人工复核</t>
        </is>
      </c>
    </row>
    <row r="84">
      <c r="A84" t="inlineStr">
        <is>
          <t>INT-20260921-094</t>
        </is>
      </c>
      <c r="B84" t="inlineStr">
        <is>
          <t>2026-09-21</t>
        </is>
      </c>
      <c r="C84" t="inlineStr">
        <is>
          <t>2026-09-21</t>
        </is>
      </c>
      <c r="D84" t="inlineStr">
        <is>
          <t>SRC004</t>
        </is>
      </c>
      <c r="E84" t="inlineStr">
        <is>
          <t>虎嗅</t>
        </is>
      </c>
      <c r="F84" t="inlineStr">
        <is>
          <t>当AI替你完成了工作，一个人要靠什么能力被市场付钱？</t>
        </is>
      </c>
      <c r="G84" t="inlineStr">
        <is>
          <t>https://m.huxiu.com/article/4892726.html</t>
        </is>
      </c>
      <c r="H84" t="inlineStr">
        <is>
          <t>AI垂直类</t>
        </is>
      </c>
      <c r="I84" t="inlineStr">
        <is>
          <t>T-IND-001</t>
        </is>
      </c>
      <c r="J84" t="inlineStr">
        <is>
          <t>行业</t>
        </is>
      </c>
      <c r="K84" t="n">
        <v>3</v>
      </c>
      <c r="L84" t="inlineStr">
        <is>
          <t>一个人要靠什么能力被市场付钱？-虎嗅网2026-09-2108:00当AI替你完成了工作</t>
        </is>
      </c>
      <c r="Q84" t="inlineStr">
        <is>
          <t>当AI替你完成了工作，一个人要靠什么能力被市场付钱？-虎嗅网2026-09-2108:00当AI替你完成了工作，一个人要靠什么能力被市场付钱？不懂经©速览本文来自微信公众号：不懂经，作者：不懂经也叔的Rust，题图来自：…</t>
        </is>
      </c>
      <c r="R84" t="inlineStr">
        <is>
          <t>自动抓取条目；下钻原文并人工核对归属公司与口径。</t>
        </is>
      </c>
      <c r="S84" t="inlineStr">
        <is>
          <t>全文已缓存</t>
        </is>
      </c>
      <c r="U84" t="inlineStr">
        <is>
          <t>自动爬取·待人工复核</t>
        </is>
      </c>
    </row>
    <row r="85">
      <c r="A85" t="inlineStr">
        <is>
          <t>INT-20260921-095</t>
        </is>
      </c>
      <c r="B85" t="inlineStr">
        <is>
          <t>2026-09-21</t>
        </is>
      </c>
      <c r="C85" t="inlineStr">
        <is>
          <t>2026-09-21</t>
        </is>
      </c>
      <c r="D85" t="inlineStr">
        <is>
          <t>SRC004</t>
        </is>
      </c>
      <c r="E85" t="inlineStr">
        <is>
          <t>虎嗅</t>
        </is>
      </c>
      <c r="F85" t="inlineStr">
        <is>
          <t>AI飞速发展下，理科更无用还是文科更无用？</t>
        </is>
      </c>
      <c r="G85" t="inlineStr">
        <is>
          <t>https://m.huxiu.com/article/4892738.html</t>
        </is>
      </c>
      <c r="H85" t="inlineStr">
        <is>
          <t>AI垂直类</t>
        </is>
      </c>
      <c r="I85" t="inlineStr">
        <is>
          <t>T-IND-001</t>
        </is>
      </c>
      <c r="J85" t="inlineStr">
        <is>
          <t>行业</t>
        </is>
      </c>
      <c r="K85" t="n">
        <v>3</v>
      </c>
      <c r="L85" t="inlineStr">
        <is>
          <t>理科更无用还是文科更无用？-虎嗅网2026-09-2107:48AI飞速发展下</t>
        </is>
      </c>
      <c r="M85" t="inlineStr">
        <is>
          <t>程序员工作中74.5%的任务已被AI覆盖</t>
        </is>
      </c>
      <c r="Q85" t="inlineStr">
        <is>
          <t>AI飞速发展下，理科更无用还是文科更无用？-虎嗅网2026-09-2107:48AI飞速发展下，理科更无用还是文科更无用？洞见学堂©速览本文来自微信公众号：洞见学堂，作者：董伊帆大模型已经能在一分钟内生成可运行的网页代码…</t>
        </is>
      </c>
      <c r="R85" t="inlineStr">
        <is>
          <t>自动抓取条目；下钻原文并人工核对归属公司与口径。</t>
        </is>
      </c>
      <c r="S85" t="inlineStr">
        <is>
          <t>全文已缓存</t>
        </is>
      </c>
      <c r="U85" t="inlineStr">
        <is>
          <t>自动爬取·待人工复核</t>
        </is>
      </c>
    </row>
    <row r="86">
      <c r="A86" t="inlineStr">
        <is>
          <t>INT-20260921-096</t>
        </is>
      </c>
      <c r="B86" t="inlineStr">
        <is>
          <t>2026-09-21</t>
        </is>
      </c>
      <c r="C86" t="inlineStr">
        <is>
          <t>2026-09-21</t>
        </is>
      </c>
      <c r="D86" t="inlineStr">
        <is>
          <t>SRC004</t>
        </is>
      </c>
      <c r="E86" t="inlineStr">
        <is>
          <t>虎嗅</t>
        </is>
      </c>
      <c r="F86" t="inlineStr">
        <is>
          <t>全球流动性见顶之后，这一轮AI周期往哪儿走？</t>
        </is>
      </c>
      <c r="G86" t="inlineStr">
        <is>
          <t>https://m.huxiu.com/article/4892735.html</t>
        </is>
      </c>
      <c r="H86" t="inlineStr">
        <is>
          <t>AI垂直类</t>
        </is>
      </c>
      <c r="I86" t="inlineStr">
        <is>
          <t>T-IND-001</t>
        </is>
      </c>
      <c r="J86" t="inlineStr">
        <is>
          <t>行业</t>
        </is>
      </c>
      <c r="K86" t="n">
        <v>3</v>
      </c>
      <c r="L86" t="inlineStr">
        <is>
          <t>这一轮AI周期往哪儿走？-虎嗅网2026-09-2107:42全球流动性见顶之后</t>
        </is>
      </c>
      <c r="M86" t="inlineStr">
        <is>
          <t>日本央行宣布加息25个基点</t>
        </is>
      </c>
      <c r="N86" t="inlineStr">
        <is>
          <t>利率升至31年来的最高水平</t>
        </is>
      </c>
      <c r="Q86" t="inlineStr">
        <is>
          <t>全球流动性见顶之后，这一轮AI周期往哪儿走？-虎嗅网2026-09-2107:42全球流动性见顶之后，这一轮AI周期往哪儿走？峰小瑞速览本文来自微信公众号：峰瑞资本，作者：李丰，题图来自：视觉中国九月中旬，全球三大央行在…</t>
        </is>
      </c>
      <c r="R86" t="inlineStr">
        <is>
          <t>自动抓取条目；下钻原文并人工核对归属公司与口径。</t>
        </is>
      </c>
      <c r="S86" t="inlineStr">
        <is>
          <t>全文已缓存</t>
        </is>
      </c>
      <c r="U86" t="inlineStr">
        <is>
          <t>自动爬取·待人工复核</t>
        </is>
      </c>
    </row>
    <row r="87">
      <c r="A87" t="inlineStr">
        <is>
          <t>INT-20260921-097</t>
        </is>
      </c>
      <c r="B87" t="inlineStr">
        <is>
          <t>2026-09-21</t>
        </is>
      </c>
      <c r="C87" t="inlineStr">
        <is>
          <t>2026-09-21</t>
        </is>
      </c>
      <c r="D87" t="inlineStr">
        <is>
          <t>SRC002</t>
        </is>
      </c>
      <c r="E87" t="inlineStr">
        <is>
          <t>量子位</t>
        </is>
      </c>
      <c r="F87" t="inlineStr">
        <is>
          <t>AGI最难一战，竟在医院！中国AI登上Science，医生不怕失业还催着上线 – 量子位</t>
        </is>
      </c>
      <c r="G87" t="inlineStr">
        <is>
          <t>https://www.qbitai.com/2026/09/491875.html</t>
        </is>
      </c>
      <c r="H87" t="inlineStr">
        <is>
          <t>AI垂直类</t>
        </is>
      </c>
      <c r="I87" t="inlineStr">
        <is>
          <t>T-IND-001</t>
        </is>
      </c>
      <c r="J87" t="inlineStr">
        <is>
          <t>行业</t>
        </is>
      </c>
      <c r="K87" t="n">
        <v>3</v>
      </c>
      <c r="L87" t="inlineStr">
        <is>
          <t>医生不怕失业还催着上线克雷西2026-09-1814:11:06来源：量子位用通用AI去啃最硬的骨头</t>
        </is>
      </c>
      <c r="M87" t="inlineStr">
        <is>
          <t>能看腹部18种解剖结构的146种病</t>
        </is>
      </c>
      <c r="N87" t="inlineStr">
        <is>
          <t>看146种病DAMO</t>
        </is>
      </c>
      <c r="Q87" t="inlineStr">
        <is>
          <t>AGI最难一战，竟在医院！中国AI登上Science，医生不怕失业还催着上线–量子位首页资讯智能车智库活动MEET大会AIGC扫码关注量子位--&gt;AGI最难一战，竟在医院！中国AI登上Science，医生不怕失业还催着上…</t>
        </is>
      </c>
      <c r="R87" t="inlineStr">
        <is>
          <t>自动抓取条目；下钻原文并人工核对归属公司与口径。</t>
        </is>
      </c>
      <c r="S87" t="inlineStr">
        <is>
          <t>全文已缓存</t>
        </is>
      </c>
      <c r="U87" t="inlineStr">
        <is>
          <t>自动爬取·待人工复核</t>
        </is>
      </c>
    </row>
    <row r="88">
      <c r="A88" t="inlineStr">
        <is>
          <t>INT-20260921-098</t>
        </is>
      </c>
      <c r="B88" t="inlineStr">
        <is>
          <t>2026-09-21</t>
        </is>
      </c>
      <c r="C88" t="inlineStr">
        <is>
          <t>2026-09-21</t>
        </is>
      </c>
      <c r="D88" t="inlineStr">
        <is>
          <t>SRC002</t>
        </is>
      </c>
      <c r="E88" t="inlineStr">
        <is>
          <t>量子位</t>
        </is>
      </c>
      <c r="F88" t="inlineStr">
        <is>
          <t>刚刚，剪映发了个大的：AI生视频和AI剪辑的壁，被打破了！ – 量子位</t>
        </is>
      </c>
      <c r="G88" t="inlineStr">
        <is>
          <t>https://www.qbitai.com/2026/09/492973.html</t>
        </is>
      </c>
      <c r="H88" t="inlineStr">
        <is>
          <t>AI垂直类</t>
        </is>
      </c>
      <c r="I88" t="inlineStr">
        <is>
          <t>T-IND-001</t>
        </is>
      </c>
      <c r="J88" t="inlineStr">
        <is>
          <t>行业</t>
        </is>
      </c>
      <c r="K88" t="n">
        <v>3</v>
      </c>
      <c r="L88" t="inlineStr">
        <is>
          <t>被打破了！十三2026-09-2022:30:26来源：量子位剪映Hub+剪映助手</t>
        </is>
      </c>
      <c r="M88" t="inlineStr">
        <is>
          <t>插件生态等（首期计划上线20余个官方精品Skill</t>
        </is>
      </c>
      <c r="Q88" t="inlineStr">
        <is>
          <t>刚刚，剪映发了个大的：AI生视频和AI剪辑的壁，被打破了！–量子位首页资讯智能车智库活动MEET大会AIGC扫码关注量子位--&gt;刚刚，剪映发了个大的：AI生视频和AI剪辑的壁，被打破了！十三2026-09-2022:30…</t>
        </is>
      </c>
      <c r="R88" t="inlineStr">
        <is>
          <t>自动抓取条目；下钻原文并人工核对归属公司与口径。</t>
        </is>
      </c>
      <c r="S88" t="inlineStr">
        <is>
          <t>全文已缓存</t>
        </is>
      </c>
      <c r="U88" t="inlineStr">
        <is>
          <t>自动爬取·待人工复核</t>
        </is>
      </c>
    </row>
    <row r="89">
      <c r="A89" t="inlineStr">
        <is>
          <t>INT-20260921-099</t>
        </is>
      </c>
      <c r="B89" t="inlineStr">
        <is>
          <t>2026-09-21</t>
        </is>
      </c>
      <c r="C89" t="inlineStr">
        <is>
          <t>2026-09-21</t>
        </is>
      </c>
      <c r="D89" t="inlineStr">
        <is>
          <t>SRC002</t>
        </is>
      </c>
      <c r="E89" t="inlineStr">
        <is>
          <t>量子位</t>
        </is>
      </c>
      <c r="F89" t="inlineStr">
        <is>
          <t>华为首发企业AI白皮书：AI让员工更快了，怎样让整个企业受益？ – 量子位</t>
        </is>
      </c>
      <c r="G89" t="inlineStr">
        <is>
          <t>https://www.qbitai.com/2026/09/493068.html</t>
        </is>
      </c>
      <c r="H89" t="inlineStr">
        <is>
          <t>AI垂直类</t>
        </is>
      </c>
      <c r="I89" t="inlineStr">
        <is>
          <t>T-IND-001</t>
        </is>
      </c>
      <c r="J89" t="inlineStr">
        <is>
          <t>行业</t>
        </is>
      </c>
      <c r="K89" t="n">
        <v>3</v>
      </c>
      <c r="L89" t="inlineStr">
        <is>
          <t>怎样让整个企业受益？henry2026-09-2022:23:52来源：量子位AI越来越能干</t>
        </is>
      </c>
      <c r="M89" t="inlineStr">
        <is>
          <t>可以达到原来的约20倍</t>
        </is>
      </c>
      <c r="N89" t="inlineStr">
        <is>
          <t>这套系统已经被8家店铺采用</t>
        </is>
      </c>
      <c r="Q89" t="inlineStr">
        <is>
          <t>华为首发企业AI白皮书：AI让员工更快了，怎样让整个企业受益？–量子位首页资讯智能车智库活动MEET大会AIGC扫码关注量子位--&gt;华为首发企业AI白皮书：AI让员工更快了，怎样让整个企业受益？henry2026-09-…</t>
        </is>
      </c>
      <c r="R89" t="inlineStr">
        <is>
          <t>自动抓取条目；下钻原文并人工核对归属公司与口径。</t>
        </is>
      </c>
      <c r="S89" t="inlineStr">
        <is>
          <t>全文已缓存</t>
        </is>
      </c>
      <c r="U89" t="inlineStr">
        <is>
          <t>自动爬取·待人工复核</t>
        </is>
      </c>
    </row>
    <row r="90">
      <c r="A90" t="inlineStr">
        <is>
          <t>INT-20260921-100</t>
        </is>
      </c>
      <c r="B90" t="inlineStr">
        <is>
          <t>2026-09-21</t>
        </is>
      </c>
      <c r="C90" t="inlineStr">
        <is>
          <t>2026-09-21</t>
        </is>
      </c>
      <c r="D90" t="inlineStr">
        <is>
          <t>SRC002</t>
        </is>
      </c>
      <c r="E90" t="inlineStr">
        <is>
          <t>量子位</t>
        </is>
      </c>
      <c r="F90" t="inlineStr">
        <is>
          <t>一张3090就能跑！全栈国产模型，把AI办公搬到企业本地 – 量子位</t>
        </is>
      </c>
      <c r="G90" t="inlineStr">
        <is>
          <t>https://www.qbitai.com/2026/09/492946.html</t>
        </is>
      </c>
      <c r="H90" t="inlineStr">
        <is>
          <t>AI垂直类</t>
        </is>
      </c>
      <c r="I90" t="inlineStr">
        <is>
          <t>T-IND-001</t>
        </is>
      </c>
      <c r="J90" t="inlineStr">
        <is>
          <t>行业</t>
        </is>
      </c>
      <c r="K90" t="n">
        <v>3</v>
      </c>
      <c r="L90" t="inlineStr">
        <is>
          <t>一张3090就能跑！全栈国产模型</t>
        </is>
      </c>
      <c r="M90" t="inlineStr">
        <is>
          <t>讯智能车智库活动MEET大会AIGC扫码关注量子位--&gt;一张3090就能跑！全栈国产模型</t>
        </is>
      </c>
      <c r="N90" t="inlineStr">
        <is>
          <t>把AI办公搬到企业本地henry2026-09-2020:22:41来源：量子位AI办公这块蛋糕</t>
        </is>
      </c>
      <c r="Q90" t="inlineStr">
        <is>
          <t>一张3090就能跑！全栈国产模型，把AI办公搬到企业本地–量子位首页资讯智能车智库活动MEET大会AIGC扫码关注量子位--&gt;一张3090就能跑！全栈国产模型，把AI办公搬到企业本地henry2026-09-2020:2…</t>
        </is>
      </c>
      <c r="R90" t="inlineStr">
        <is>
          <t>自动抓取条目；下钻原文并人工核对归属公司与口径。</t>
        </is>
      </c>
      <c r="S90" t="inlineStr">
        <is>
          <t>全文已缓存</t>
        </is>
      </c>
      <c r="U90" t="inlineStr">
        <is>
          <t>自动爬取·待人工复核</t>
        </is>
      </c>
    </row>
    <row r="91">
      <c r="A91" t="inlineStr">
        <is>
          <t>INT-20260921-101</t>
        </is>
      </c>
      <c r="B91" t="inlineStr">
        <is>
          <t>2026-09-21</t>
        </is>
      </c>
      <c r="C91" t="inlineStr">
        <is>
          <t>2026-09-21</t>
        </is>
      </c>
      <c r="D91" t="inlineStr">
        <is>
          <t>SRC002</t>
        </is>
      </c>
      <c r="E91" t="inlineStr">
        <is>
          <t>量子位</t>
        </is>
      </c>
      <c r="F91" t="inlineStr">
        <is>
          <t>谷歌AI首次“越狱”：竟然自己破解密码入侵三家公司！ – 量子位</t>
        </is>
      </c>
      <c r="G91" t="inlineStr">
        <is>
          <t>https://www.qbitai.com/2026/09/492912.html</t>
        </is>
      </c>
      <c r="H91" t="inlineStr">
        <is>
          <t>AI垂直类</t>
        </is>
      </c>
      <c r="I91" t="inlineStr">
        <is>
          <t>T-IND-001</t>
        </is>
      </c>
      <c r="J91" t="inlineStr">
        <is>
          <t>行业</t>
        </is>
      </c>
      <c r="K91" t="n">
        <v>4</v>
      </c>
      <c r="L91" t="inlineStr">
        <is>
          <t>-&gt;谷歌AI首次“越狱”：竟然自己破解密码入侵三家公司！十三2026-09-2016:01:13来源：量子位</t>
        </is>
      </c>
      <c r="Q91" t="inlineStr">
        <is>
          <t>谷歌AI首次“越狱”：竟然自己破解密码入侵三家公司！–量子位首页资讯智能车智库活动MEET大会AIGC扫码关注量子位--&gt;谷歌AI首次“越狱”：竟然自己破解密码入侵三家公司！十三2026-09-2016:01:13来源：…</t>
        </is>
      </c>
      <c r="R91" t="inlineStr">
        <is>
          <t>自动抓取条目；下钻原文并人工核对归属公司与口径。</t>
        </is>
      </c>
      <c r="S91" t="inlineStr">
        <is>
          <t>全文已缓存</t>
        </is>
      </c>
      <c r="U91" t="inlineStr">
        <is>
          <t>自动爬取·待人工复核</t>
        </is>
      </c>
    </row>
    <row r="92">
      <c r="A92" t="inlineStr">
        <is>
          <t>INT-20260921-102</t>
        </is>
      </c>
      <c r="B92" t="inlineStr">
        <is>
          <t>2026-09-21</t>
        </is>
      </c>
      <c r="C92" t="inlineStr">
        <is>
          <t>2026-09-21</t>
        </is>
      </c>
      <c r="D92" t="inlineStr">
        <is>
          <t>SRC002</t>
        </is>
      </c>
      <c r="E92" t="inlineStr">
        <is>
          <t>量子位</t>
        </is>
      </c>
      <c r="F92" t="inlineStr">
        <is>
          <t>《网络安全人才实战能力报告-AI赋能篇》正式发布，当AI进入业务深水区安全如何跟上 – 量子位</t>
        </is>
      </c>
      <c r="G92" t="inlineStr">
        <is>
          <t>https://www.qbitai.com/2026/09/492849.html</t>
        </is>
      </c>
      <c r="H92" t="inlineStr">
        <is>
          <t>AI垂直类</t>
        </is>
      </c>
      <c r="I92" t="inlineStr">
        <is>
          <t>T-IND-001</t>
        </is>
      </c>
      <c r="J92" t="inlineStr">
        <is>
          <t>行业</t>
        </is>
      </c>
      <c r="K92" t="n">
        <v>3</v>
      </c>
      <c r="L92" t="inlineStr">
        <is>
          <t>当AI进入业务深水区安全如何跟上量子位的朋友们2026-09-2010:48:18来源：量子位9月1</t>
        </is>
      </c>
      <c r="M92" t="inlineStr">
        <is>
          <t>模型在50%成功率下可完成的任务时长大约每7个月翻一番</t>
        </is>
      </c>
      <c r="N92" t="inlineStr">
        <is>
          <t>安全能力能否同步跟上？9月18日</t>
        </is>
      </c>
      <c r="Q92" t="inlineStr">
        <is>
          <t>《网络安全人才实战能力报告-AI赋能篇》正式发布，当AI进入业务深水区安全如何跟上–量子位首页资讯智能车智库活动MEET大会AIGC扫码关注量子位--&gt;《网络安全人才实战能力报告-AI赋能篇》正式发布，当AI进入业务深水…</t>
        </is>
      </c>
      <c r="R92" t="inlineStr">
        <is>
          <t>自动抓取条目；下钻原文并人工核对归属公司与口径。</t>
        </is>
      </c>
      <c r="S92" t="inlineStr">
        <is>
          <t>全文已缓存</t>
        </is>
      </c>
      <c r="U92" t="inlineStr">
        <is>
          <t>自动爬取·待人工复核</t>
        </is>
      </c>
    </row>
    <row r="93">
      <c r="A93" t="inlineStr">
        <is>
          <t>INT-20260921-103</t>
        </is>
      </c>
      <c r="B93" t="inlineStr">
        <is>
          <t>2026-09-21</t>
        </is>
      </c>
      <c r="C93" t="inlineStr">
        <is>
          <t>2026-09-21</t>
        </is>
      </c>
      <c r="D93" t="inlineStr">
        <is>
          <t>SRC002</t>
        </is>
      </c>
      <c r="E93" t="inlineStr">
        <is>
          <t>量子位</t>
        </is>
      </c>
      <c r="F93" t="inlineStr">
        <is>
          <t>“留给人类阻止AI的时间不多了” – 量子位</t>
        </is>
      </c>
      <c r="G93" t="inlineStr">
        <is>
          <t>https://www.qbitai.com/2026/09/492755.html</t>
        </is>
      </c>
      <c r="H93" t="inlineStr">
        <is>
          <t>AI垂直类</t>
        </is>
      </c>
      <c r="I93" t="inlineStr">
        <is>
          <t>T-IND-001</t>
        </is>
      </c>
      <c r="J93" t="inlineStr">
        <is>
          <t>行业</t>
        </is>
      </c>
      <c r="K93" t="n">
        <v>3</v>
      </c>
      <c r="L93" t="inlineStr">
        <is>
          <t>码关注量子位--&gt;“留给人类阻止AI的时间不多了”henry2026-09-1919:53:12来源：量子位</t>
        </is>
      </c>
      <c r="M93" t="inlineStr">
        <is>
          <t>自2021年从剑桥大学数学专业毕业以后</t>
        </is>
      </c>
      <c r="N93" t="inlineStr">
        <is>
          <t>并于2022年初进入这一领域</t>
        </is>
      </c>
      <c r="Q93" t="inlineStr">
        <is>
          <t>“留给人类阻止AI的时间不多了”–量子位首页资讯智能车智库活动MEET大会AIGC扫码关注量子位--&gt;“留给人类阻止AI的时间不多了”henry2026-09-1919:53:12来源：量子位AI有可能终结我们所有人he…</t>
        </is>
      </c>
      <c r="R93" t="inlineStr">
        <is>
          <t>自动抓取条目；下钻原文并人工核对归属公司与口径。</t>
        </is>
      </c>
      <c r="S93" t="inlineStr">
        <is>
          <t>全文已缓存</t>
        </is>
      </c>
      <c r="U93" t="inlineStr">
        <is>
          <t>自动爬取·待人工复核</t>
        </is>
      </c>
    </row>
    <row r="94">
      <c r="A94" t="inlineStr">
        <is>
          <t>INT-20260921-104</t>
        </is>
      </c>
      <c r="B94" t="inlineStr">
        <is>
          <t>2026-09-21</t>
        </is>
      </c>
      <c r="C94" t="inlineStr">
        <is>
          <t>2026-09-21</t>
        </is>
      </c>
      <c r="D94" t="inlineStr">
        <is>
          <t>SRC002</t>
        </is>
      </c>
      <c r="E94" t="inlineStr">
        <is>
          <t>量子位</t>
        </is>
      </c>
      <c r="F94" t="inlineStr">
        <is>
          <t>Nature：AI重生到1900，这一世抢先爱因斯坦提出光量子 – 量子位</t>
        </is>
      </c>
      <c r="G94" t="inlineStr">
        <is>
          <t>https://www.qbitai.com/2026/09/492550.html</t>
        </is>
      </c>
      <c r="H94" t="inlineStr">
        <is>
          <t>AI垂直类</t>
        </is>
      </c>
      <c r="I94" t="inlineStr">
        <is>
          <t>T-IND-001</t>
        </is>
      </c>
      <c r="J94" t="inlineStr">
        <is>
          <t>行业</t>
        </is>
      </c>
      <c r="K94" t="n">
        <v>3</v>
      </c>
      <c r="L94" t="inlineStr">
        <is>
          <t>Nature：AI重生到1900，这一世抢先爱因斯坦提出光量子–量子位首页</t>
        </is>
      </c>
      <c r="M94" t="inlineStr">
        <is>
          <t>ET大会AIGC扫码关注量子位--&gt;Nature：AI重生到1900，这一世抢先爱因斯坦提出光量子henry2</t>
        </is>
      </c>
      <c r="N94" t="inlineStr">
        <is>
          <t>026-09-1919:36:11来源：量子位AI能否提出相对论？文婷发自</t>
        </is>
      </c>
      <c r="Q94" t="inlineStr">
        <is>
          <t>Nature：AI重生到1900，这一世抢先爱因斯坦提出光量子–量子位首页资讯智能车智库活动MEET大会AIGC扫码关注量子位--&gt;Nature：AI重生到1900，这一世抢先爱因斯坦提出光量子henry2026-09-…</t>
        </is>
      </c>
      <c r="R94" t="inlineStr">
        <is>
          <t>自动抓取条目；下钻原文并人工核对归属公司与口径。</t>
        </is>
      </c>
      <c r="S94" t="inlineStr">
        <is>
          <t>全文已缓存</t>
        </is>
      </c>
      <c r="U94" t="inlineStr">
        <is>
          <t>自动爬取·待人工复核</t>
        </is>
      </c>
    </row>
    <row r="95">
      <c r="A95" t="inlineStr">
        <is>
          <t>INT-20260921-105</t>
        </is>
      </c>
      <c r="B95" t="inlineStr">
        <is>
          <t>2026-09-21</t>
        </is>
      </c>
      <c r="C95" t="inlineStr">
        <is>
          <t>2026-09-21</t>
        </is>
      </c>
      <c r="D95" t="inlineStr">
        <is>
          <t>SRC002</t>
        </is>
      </c>
      <c r="E95" t="inlineStr">
        <is>
          <t>量子位</t>
        </is>
      </c>
      <c r="F95" t="inlineStr">
        <is>
          <t>陶哲轩代表SAIR Foundation宣布正式启动“开放数学模型计划” – 量子位</t>
        </is>
      </c>
      <c r="G95" t="inlineStr">
        <is>
          <t>https://www.qbitai.com/2026/09/492467.html</t>
        </is>
      </c>
      <c r="H95" t="inlineStr">
        <is>
          <t>AI垂直类</t>
        </is>
      </c>
      <c r="I95" t="inlineStr">
        <is>
          <t>T-IND-001</t>
        </is>
      </c>
      <c r="J95" t="inlineStr">
        <is>
          <t>行业</t>
        </is>
      </c>
      <c r="K95" t="n">
        <v>3</v>
      </c>
      <c r="L95" t="inlineStr">
        <is>
          <t>ndation宣布正式启动“开放数学模型计划”量子位的朋友们2026-09-1914:44:02来源：量子位</t>
        </is>
      </c>
      <c r="M95" t="inlineStr">
        <is>
          <t>让开放模型与可负担的算力成为数学研究的共享基石2026年9月18日</t>
        </is>
      </c>
      <c r="N95" t="inlineStr">
        <is>
          <t>AIRFOUNDATION·官方声明SAIR开放数学模型计划2026年9月18日|陶哲轩（TerenceTa</t>
        </is>
      </c>
      <c r="Q95" t="inlineStr">
        <is>
          <t>陶哲轩代表SAIRFoundation宣布正式启动“开放数学模型计划”–量子位首页资讯智能车智库活动MEET大会AIGC扫码关注量子位--&gt;陶哲轩代表SAIRFoundation宣布正式启动“开放数学模型计划”量子位的朋…</t>
        </is>
      </c>
      <c r="R95" t="inlineStr">
        <is>
          <t>自动抓取条目；下钻原文并人工核对归属公司与口径。</t>
        </is>
      </c>
      <c r="S95" t="inlineStr">
        <is>
          <t>全文已缓存</t>
        </is>
      </c>
      <c r="U95" t="inlineStr">
        <is>
          <t>自动爬取·待人工复核</t>
        </is>
      </c>
    </row>
    <row r="96">
      <c r="A96" t="inlineStr">
        <is>
          <t>INT-20260921-106</t>
        </is>
      </c>
      <c r="B96" t="inlineStr">
        <is>
          <t>2026-09-21</t>
        </is>
      </c>
      <c r="C96" t="inlineStr">
        <is>
          <t>2026-09-21</t>
        </is>
      </c>
      <c r="D96" t="inlineStr">
        <is>
          <t>SRC002</t>
        </is>
      </c>
      <c r="E96" t="inlineStr">
        <is>
          <t>量子位</t>
        </is>
      </c>
      <c r="F96" t="inlineStr">
        <is>
          <t>无问芯穹与华环电子签署战略合作，共同探索国产异构算力AI基础设施新方向 – 量子位</t>
        </is>
      </c>
      <c r="G96" t="inlineStr">
        <is>
          <t>https://www.qbitai.com/2026/09/492426.html</t>
        </is>
      </c>
      <c r="H96" t="inlineStr">
        <is>
          <t>AI垂直类</t>
        </is>
      </c>
      <c r="I96" t="inlineStr">
        <is>
          <t>T-CAPEX-001</t>
        </is>
      </c>
      <c r="J96" t="inlineStr">
        <is>
          <t>行业</t>
        </is>
      </c>
      <c r="K96" t="n">
        <v>3</v>
      </c>
      <c r="L96" t="inlineStr">
        <is>
          <t>共同探索国产异构算力AI基础设施新方向量子位的朋友们2026-09-1823:58:21来源：量子位</t>
        </is>
      </c>
      <c r="M96" t="inlineStr">
        <is>
          <t>协同布局AI基础设施9月17日</t>
        </is>
      </c>
      <c r="N96" t="inlineStr">
        <is>
          <t>华环电子深耕信息通信与光网络领域30余年</t>
        </is>
      </c>
      <c r="Q96" t="inlineStr">
        <is>
          <t>无问芯穹与华环电子签署战略合作，共同探索国产异构算力AI基础设施新方向–量子位首页资讯智能车智库活动MEET大会AIGC扫码关注量子位--&gt;无问芯穹与华环电子签署战略合作，共同探索国产异构算力AI基础设施新方向量子位的朋…</t>
        </is>
      </c>
      <c r="R96" t="inlineStr">
        <is>
          <t>自动抓取条目；下钻原文并人工核对归属公司与口径。</t>
        </is>
      </c>
      <c r="S96" t="inlineStr">
        <is>
          <t>全文已缓存</t>
        </is>
      </c>
      <c r="U96" t="inlineStr">
        <is>
          <t>自动爬取·待人工复核</t>
        </is>
      </c>
    </row>
    <row r="97">
      <c r="A97" t="inlineStr">
        <is>
          <t>INT-20260921-107</t>
        </is>
      </c>
      <c r="B97" t="inlineStr">
        <is>
          <t>1789901200</t>
        </is>
      </c>
      <c r="C97" t="inlineStr">
        <is>
          <t>2026-09-21</t>
        </is>
      </c>
      <c r="D97" t="inlineStr">
        <is>
          <t>SRC001</t>
        </is>
      </c>
      <c r="E97" t="inlineStr">
        <is>
          <t>Deeptech深科技</t>
        </is>
      </c>
      <c r="F97" t="inlineStr">
        <is>
          <t>RSI开始走进科学研究，MIT教授让AI自建物理研究工具</t>
        </is>
      </c>
      <c r="G97" t="inlineStr">
        <is>
          <t>https://www.mittrchina.com/news/detail/16988</t>
        </is>
      </c>
      <c r="H97" t="inlineStr">
        <is>
          <t>AI垂直类</t>
        </is>
      </c>
      <c r="I97" t="inlineStr">
        <is>
          <t>T-IND-001</t>
        </is>
      </c>
      <c r="J97" t="inlineStr">
        <is>
          <t>行业</t>
        </is>
      </c>
      <c r="K97" t="n">
        <v>3</v>
      </c>
      <c r="L97" t="inlineStr">
        <is>
          <t>要点待人工补充</t>
        </is>
      </c>
      <c r="Q97" t="inlineStr">
        <is>
          <t>你可曾想过，缓震跑鞋底部材料为何被设计成蜂窝状结构？…</t>
        </is>
      </c>
      <c r="R97" t="inlineStr">
        <is>
          <t>自动抓取条目；下钻原文并人工核对归属公司与口径。</t>
        </is>
      </c>
      <c r="S97" t="inlineStr">
        <is>
          <t>全文已缓存</t>
        </is>
      </c>
      <c r="U97" t="inlineStr">
        <is>
          <t>自动爬取·待人工复核</t>
        </is>
      </c>
    </row>
    <row r="98">
      <c r="A98" t="inlineStr">
        <is>
          <t>INT-20260921-108</t>
        </is>
      </c>
      <c r="B98" t="inlineStr">
        <is>
          <t>1789888674</t>
        </is>
      </c>
      <c r="C98" t="inlineStr">
        <is>
          <t>2026-09-21</t>
        </is>
      </c>
      <c r="D98" t="inlineStr">
        <is>
          <t>SRC001</t>
        </is>
      </c>
      <c r="E98" t="inlineStr">
        <is>
          <t>Deeptech深科技</t>
        </is>
      </c>
      <c r="F98" t="inlineStr">
        <is>
          <t>OpenAI披露六份失准报告，揭示AI越界的三种机制</t>
        </is>
      </c>
      <c r="G98" t="inlineStr">
        <is>
          <t>https://www.mittrchina.com/news/detail/16987</t>
        </is>
      </c>
      <c r="H98" t="inlineStr">
        <is>
          <t>AI垂直类</t>
        </is>
      </c>
      <c r="I98" t="inlineStr">
        <is>
          <t>T-IND-001</t>
        </is>
      </c>
      <c r="J98" t="inlineStr">
        <is>
          <t>行业</t>
        </is>
      </c>
      <c r="K98" t="n">
        <v>4</v>
      </c>
      <c r="L98" t="inlineStr">
        <is>
          <t>要点待人工补充</t>
        </is>
      </c>
      <c r="Q98" t="inlineStr">
        <is>
          <t>一项编程任务进行到一半，AI开始整理已有进展，准备把任务交给下一个上下文继续处理。…</t>
        </is>
      </c>
      <c r="R98" t="inlineStr">
        <is>
          <t>自动抓取条目；下钻原文并人工核对归属公司与口径。</t>
        </is>
      </c>
      <c r="S98" t="inlineStr">
        <is>
          <t>全文已缓存</t>
        </is>
      </c>
      <c r="U98" t="inlineStr">
        <is>
          <t>自动爬取·待人工复核</t>
        </is>
      </c>
    </row>
    <row r="99">
      <c r="A99" t="inlineStr">
        <is>
          <t>INT-20260921-109</t>
        </is>
      </c>
      <c r="B99" t="inlineStr">
        <is>
          <t>1789873071</t>
        </is>
      </c>
      <c r="C99" t="inlineStr">
        <is>
          <t>2026-09-21</t>
        </is>
      </c>
      <c r="D99" t="inlineStr">
        <is>
          <t>SRC001</t>
        </is>
      </c>
      <c r="E99" t="inlineStr">
        <is>
          <t>Deeptech深科技</t>
        </is>
      </c>
      <c r="F99" t="inlineStr">
        <is>
          <t>对话Memories.ai沈俊潇：用视觉记忆驱动物理AI自进化</t>
        </is>
      </c>
      <c r="G99" t="inlineStr">
        <is>
          <t>https://www.mittrchina.com/news/detail/16983</t>
        </is>
      </c>
      <c r="H99" t="inlineStr">
        <is>
          <t>AI垂直类</t>
        </is>
      </c>
      <c r="I99" t="inlineStr">
        <is>
          <t>T-IND-001</t>
        </is>
      </c>
      <c r="J99" t="inlineStr">
        <is>
          <t>行业</t>
        </is>
      </c>
      <c r="K99" t="n">
        <v>3</v>
      </c>
      <c r="L99" t="inlineStr">
        <is>
          <t>要点待人工补充</t>
        </is>
      </c>
      <c r="Q99" t="inlineStr">
        <is>
          <t>模型能否像人类一样真正“看见”，并形成持久“记忆”，是过去两年AI领域内最受关注的命题之一。…</t>
        </is>
      </c>
      <c r="R99" t="inlineStr">
        <is>
          <t>自动抓取条目；下钻原文并人工核对归属公司与口径。</t>
        </is>
      </c>
      <c r="S99" t="inlineStr">
        <is>
          <t>全文已缓存</t>
        </is>
      </c>
      <c r="U99" t="inlineStr">
        <is>
          <t>自动爬取·待人工复核</t>
        </is>
      </c>
    </row>
    <row r="100">
      <c r="A100" t="inlineStr">
        <is>
          <t>INT-20260921-110</t>
        </is>
      </c>
      <c r="B100" t="inlineStr">
        <is>
          <t>1789826373</t>
        </is>
      </c>
      <c r="C100" t="inlineStr">
        <is>
          <t>2026-09-21</t>
        </is>
      </c>
      <c r="D100" t="inlineStr">
        <is>
          <t>SRC001</t>
        </is>
      </c>
      <c r="E100" t="inlineStr">
        <is>
          <t>Deeptech深科技</t>
        </is>
      </c>
      <c r="F100" t="inlineStr">
        <is>
          <t>Cell重磅：把血液、基因和蛋白数据交给AI，它开始学会判断衰老</t>
        </is>
      </c>
      <c r="G100" t="inlineStr">
        <is>
          <t>https://www.mittrchina.com/news/detail/16981</t>
        </is>
      </c>
      <c r="H100" t="inlineStr">
        <is>
          <t>AI垂直类</t>
        </is>
      </c>
      <c r="I100" t="inlineStr">
        <is>
          <t>T-IND-001</t>
        </is>
      </c>
      <c r="J100" t="inlineStr">
        <is>
          <t>行业</t>
        </is>
      </c>
      <c r="K100" t="n">
        <v>3</v>
      </c>
      <c r="L100" t="inlineStr">
        <is>
          <t>要点待人工补充</t>
        </is>
      </c>
      <c r="Q100" t="inlineStr">
        <is>
          <t>如果把一个人的血液指标、DNA甲基化数据、基因表达和血浆蛋白数据直接交给大模型，它能不能判断这个人有多大、未来死亡风险如何？如果把一个基因的实验数据给它，它又能不能判断这个基因究竟会促进还是延缓衰老？…</t>
        </is>
      </c>
      <c r="R100" t="inlineStr">
        <is>
          <t>自动抓取条目；下钻原文并人工核对归属公司与口径。</t>
        </is>
      </c>
      <c r="S100" t="inlineStr">
        <is>
          <t>全文已缓存</t>
        </is>
      </c>
      <c r="U100" t="inlineStr">
        <is>
          <t>自动爬取·待人工复核</t>
        </is>
      </c>
    </row>
    <row r="101">
      <c r="A101" t="inlineStr">
        <is>
          <t>INT-20260921-111</t>
        </is>
      </c>
      <c r="B101" t="inlineStr">
        <is>
          <t>1789814980</t>
        </is>
      </c>
      <c r="C101" t="inlineStr">
        <is>
          <t>2026-09-21</t>
        </is>
      </c>
      <c r="D101" t="inlineStr">
        <is>
          <t>SRC001</t>
        </is>
      </c>
      <c r="E101" t="inlineStr">
        <is>
          <t>Deeptech深科技</t>
        </is>
      </c>
      <c r="F101" t="inlineStr">
        <is>
          <t>下一场生物安全危机，会和AI有关吗？</t>
        </is>
      </c>
      <c r="G101" t="inlineStr">
        <is>
          <t>https://www.mittrchina.com/news/detail/16980</t>
        </is>
      </c>
      <c r="H101" t="inlineStr">
        <is>
          <t>AI垂直类</t>
        </is>
      </c>
      <c r="I101" t="inlineStr">
        <is>
          <t>T-IND-001</t>
        </is>
      </c>
      <c r="J101" t="inlineStr">
        <is>
          <t>行业</t>
        </is>
      </c>
      <c r="K101" t="n">
        <v>3</v>
      </c>
      <c r="L101" t="inlineStr">
        <is>
          <t>要点待人工补充</t>
        </is>
      </c>
      <c r="Q101" t="inlineStr">
        <is>
          <t>最近几周，一些全球最大的AI公司掌舵人开始公开警告：他们正在开发的技术，本身可能带来严重危险。上周末，Anthropic的CEO达里奥·阿莫迪（DarioAmodei）发表文章称，AI正带来重大风险，前沿模型的发展速度应…</t>
        </is>
      </c>
      <c r="R101" t="inlineStr">
        <is>
          <t>自动抓取条目；下钻原文并人工核对归属公司与口径。</t>
        </is>
      </c>
      <c r="S101" t="inlineStr">
        <is>
          <t>全文已缓存</t>
        </is>
      </c>
      <c r="U101" t="inlineStr">
        <is>
          <t>自动爬取·待人工复核</t>
        </is>
      </c>
    </row>
    <row r="102">
      <c r="A102" t="inlineStr">
        <is>
          <t>INT-20260921-112</t>
        </is>
      </c>
      <c r="B102" t="inlineStr">
        <is>
          <t>1789814747</t>
        </is>
      </c>
      <c r="C102" t="inlineStr">
        <is>
          <t>2026-09-21</t>
        </is>
      </c>
      <c r="D102" t="inlineStr">
        <is>
          <t>SRC001</t>
        </is>
      </c>
      <c r="E102" t="inlineStr">
        <is>
          <t>Deeptech深科技</t>
        </is>
      </c>
      <c r="F102" t="inlineStr">
        <is>
          <t>Sam Altman最新访谈：AI越界之后，暂停还是继续？</t>
        </is>
      </c>
      <c r="G102" t="inlineStr">
        <is>
          <t>https://www.mittrchina.com/news/detail/16979</t>
        </is>
      </c>
      <c r="H102" t="inlineStr">
        <is>
          <t>AI垂直类</t>
        </is>
      </c>
      <c r="I102" t="inlineStr">
        <is>
          <t>T-IND-001</t>
        </is>
      </c>
      <c r="J102" t="inlineStr">
        <is>
          <t>行业</t>
        </is>
      </c>
      <c r="K102" t="n">
        <v>3</v>
      </c>
      <c r="L102" t="inlineStr">
        <is>
          <t>要点待人工补充</t>
        </is>
      </c>
      <c r="Q102" t="inlineStr">
        <is>
          <t>8月26日，独立AI评测机构METR公布了一份调查报告，披露OpenAI的一批AI智能体在模型评估中出现了罕见的越界行为：为了完成测试任务，它们不仅把目标转向了HuggingFace，还发现并使用了一个未经批准的共享留言…</t>
        </is>
      </c>
      <c r="R102" t="inlineStr">
        <is>
          <t>自动抓取条目；下钻原文并人工核对归属公司与口径。</t>
        </is>
      </c>
      <c r="S102" t="inlineStr">
        <is>
          <t>全文已缓存</t>
        </is>
      </c>
      <c r="U102" t="inlineStr">
        <is>
          <t>自动爬取·待人工复核</t>
        </is>
      </c>
    </row>
    <row r="103">
      <c r="A103" t="inlineStr">
        <is>
          <t>INT-20260921-113</t>
        </is>
      </c>
      <c r="B103" t="inlineStr">
        <is>
          <t>1789814370</t>
        </is>
      </c>
      <c r="C103" t="inlineStr">
        <is>
          <t>2026-09-21</t>
        </is>
      </c>
      <c r="D103" t="inlineStr">
        <is>
          <t>SRC001</t>
        </is>
      </c>
      <c r="E103" t="inlineStr">
        <is>
          <t>Deeptech深科技</t>
        </is>
      </c>
      <c r="F103" t="inlineStr">
        <is>
          <t>AI越来越强，但我们仍不知道智能是否只是计算｜对话前DeepMind资深科学家曹原</t>
        </is>
      </c>
      <c r="G103" t="inlineStr">
        <is>
          <t>https://www.mittrchina.com/news/detail/16978</t>
        </is>
      </c>
      <c r="H103" t="inlineStr">
        <is>
          <t>AI垂直类</t>
        </is>
      </c>
      <c r="I103" t="inlineStr">
        <is>
          <t>T-IND-001</t>
        </is>
      </c>
      <c r="J103" t="inlineStr">
        <is>
          <t>行业</t>
        </is>
      </c>
      <c r="K103" t="n">
        <v>3</v>
      </c>
      <c r="L103" t="inlineStr">
        <is>
          <t>要点待人工补充</t>
        </is>
      </c>
      <c r="Q103" t="inlineStr">
        <is>
          <t>过去近十年，曹原一直身处人工智能快速演进的一线。他早期从事统计机器学习与机器翻译研究，之后加入GoogleBrain，并在GoogleBrain与DeepMind合并后继续在GoogleDeepMind从事人工智能研究。…</t>
        </is>
      </c>
      <c r="R103" t="inlineStr">
        <is>
          <t>自动抓取条目；下钻原文并人工核对归属公司与口径。</t>
        </is>
      </c>
      <c r="S103" t="inlineStr">
        <is>
          <t>全文已缓存</t>
        </is>
      </c>
      <c r="U103" t="inlineStr">
        <is>
          <t>自动爬取·待人工复核</t>
        </is>
      </c>
    </row>
    <row r="104">
      <c r="A104" t="inlineStr">
        <is>
          <t>INT-20260921-114</t>
        </is>
      </c>
      <c r="B104" t="inlineStr">
        <is>
          <t>1789791724</t>
        </is>
      </c>
      <c r="C104" t="inlineStr">
        <is>
          <t>2026-09-21</t>
        </is>
      </c>
      <c r="D104" t="inlineStr">
        <is>
          <t>SRC001</t>
        </is>
      </c>
      <c r="E104" t="inlineStr">
        <is>
          <t>Deeptech深科技</t>
        </is>
      </c>
      <c r="F104" t="inlineStr">
        <is>
          <t>陶哲轩启动“开放数学模型计划”：不依附大厂，为数学界打造自己的AI</t>
        </is>
      </c>
      <c r="G104" t="inlineStr">
        <is>
          <t>https://www.mittrchina.com/news/detail/16977</t>
        </is>
      </c>
      <c r="H104" t="inlineStr">
        <is>
          <t>AI垂直类</t>
        </is>
      </c>
      <c r="I104" t="inlineStr">
        <is>
          <t>T-IND-001</t>
        </is>
      </c>
      <c r="J104" t="inlineStr">
        <is>
          <t>行业</t>
        </is>
      </c>
      <c r="K104" t="n">
        <v>3</v>
      </c>
      <c r="L104" t="inlineStr">
        <is>
          <t>要点待人工补充</t>
        </is>
      </c>
      <c r="Q104" t="inlineStr">
        <is>
          <t>9月18日，菲尔兹奖得主陶哲轩在个人博客上发布声明，宣布由他参与创立的非营利机构SAIR基金会（FoundationforScienceandAIResearch）正式启动“开放数学模型计划”（OpenMathModel…</t>
        </is>
      </c>
      <c r="R104" t="inlineStr">
        <is>
          <t>自动抓取条目；下钻原文并人工核对归属公司与口径。</t>
        </is>
      </c>
      <c r="S104" t="inlineStr">
        <is>
          <t>全文已缓存</t>
        </is>
      </c>
      <c r="U104" t="inlineStr">
        <is>
          <t>自动爬取·待人工复核</t>
        </is>
      </c>
    </row>
    <row r="105">
      <c r="A105" t="inlineStr">
        <is>
          <t>INT-20260921-115</t>
        </is>
      </c>
      <c r="B105" t="inlineStr">
        <is>
          <t>1789738493</t>
        </is>
      </c>
      <c r="C105" t="inlineStr">
        <is>
          <t>2026-09-21</t>
        </is>
      </c>
      <c r="D105" t="inlineStr">
        <is>
          <t>SRC001</t>
        </is>
      </c>
      <c r="E105" t="inlineStr">
        <is>
          <t>Deeptech深科技</t>
        </is>
      </c>
      <c r="F105" t="inlineStr">
        <is>
          <t>三个黑客花不到3000美元，用Claude攻入了OpenAI内部代码库</t>
        </is>
      </c>
      <c r="G105" t="inlineStr">
        <is>
          <t>https://www.mittrchina.com/news/detail/16976</t>
        </is>
      </c>
      <c r="H105" t="inlineStr">
        <is>
          <t>AI垂直类</t>
        </is>
      </c>
      <c r="I105" t="inlineStr">
        <is>
          <t>T-IND-001</t>
        </is>
      </c>
      <c r="J105" t="inlineStr">
        <is>
          <t>行业</t>
        </is>
      </c>
      <c r="K105" t="n">
        <v>4</v>
      </c>
      <c r="L105" t="inlineStr">
        <is>
          <t>AI内部代码仓库openai/openai收到了一条编号为#1186742的拉取请求（PR）</t>
        </is>
      </c>
      <c r="Q105" t="inlineStr">
        <is>
          <t>7月25日，OpenAI内部代码仓库openai/openai收到了一条编号为#1186742的拉取请求（PR）。安全公司Hacktron随后披露，这条指令的实际发起者是三名外部安全研究员，但执行操作的，却是某位Open…</t>
        </is>
      </c>
      <c r="R105" t="inlineStr">
        <is>
          <t>自动抓取条目；下钻原文并人工核对归属公司与口径。</t>
        </is>
      </c>
      <c r="S105" t="inlineStr">
        <is>
          <t>全文已缓存</t>
        </is>
      </c>
      <c r="U105" t="inlineStr">
        <is>
          <t>自动爬取·待人工复核</t>
        </is>
      </c>
    </row>
    <row r="106">
      <c r="A106" t="inlineStr">
        <is>
          <t>INT-20260921-116</t>
        </is>
      </c>
      <c r="B106" t="inlineStr">
        <is>
          <t>1789727445</t>
        </is>
      </c>
      <c r="C106" t="inlineStr">
        <is>
          <t>2026-09-21</t>
        </is>
      </c>
      <c r="D106" t="inlineStr">
        <is>
          <t>SRC001</t>
        </is>
      </c>
      <c r="E106" t="inlineStr">
        <is>
          <t>Deeptech深科技</t>
        </is>
      </c>
      <c r="F106" t="inlineStr">
        <is>
          <t>一边竞速，一边喊停：AI巨头的矛盾时刻</t>
        </is>
      </c>
      <c r="G106" t="inlineStr">
        <is>
          <t>https://www.mittrchina.com/news/detail/16975</t>
        </is>
      </c>
      <c r="H106" t="inlineStr">
        <is>
          <t>AI垂直类</t>
        </is>
      </c>
      <c r="I106" t="inlineStr">
        <is>
          <t>T-IND-001</t>
        </is>
      </c>
      <c r="J106" t="inlineStr">
        <is>
          <t>行业</t>
        </is>
      </c>
      <c r="K106" t="n">
        <v>3</v>
      </c>
      <c r="L106" t="inlineStr">
        <is>
          <t>要点待人工补充</t>
        </is>
      </c>
      <c r="Q106" t="inlineStr">
        <is>
          <t>上周末，AnthropicCEO达里奥·阿莫迪（DarioAmodei）发表了一篇文章，呼吁放慢AI大语言模型的开发速度。在他看来，这项技术带来的风险正在迫近，从网络攻击、生物恐怖主义，到对经济体系造成严重冲击，都值得警…</t>
        </is>
      </c>
      <c r="R106" t="inlineStr">
        <is>
          <t>自动抓取条目；下钻原文并人工核对归属公司与口径。</t>
        </is>
      </c>
      <c r="S106" t="inlineStr">
        <is>
          <t>全文已缓存</t>
        </is>
      </c>
      <c r="U106" t="inlineStr">
        <is>
          <t>自动爬取·待人工复核</t>
        </is>
      </c>
    </row>
    <row r="107">
      <c r="A107" t="inlineStr">
        <is>
          <t>INT-20260921-117</t>
        </is>
      </c>
      <c r="B107" t="inlineStr">
        <is>
          <t>1789722647</t>
        </is>
      </c>
      <c r="C107" t="inlineStr">
        <is>
          <t>2026-09-21</t>
        </is>
      </c>
      <c r="D107" t="inlineStr">
        <is>
          <t>SRC001</t>
        </is>
      </c>
      <c r="E107" t="inlineStr">
        <is>
          <t>Deeptech深科技</t>
        </is>
      </c>
      <c r="F107" t="inlineStr">
        <is>
          <t>RSI靠“做梦”就能进化？谷歌提出不改模型也能持续变强的新系统</t>
        </is>
      </c>
      <c r="G107" t="inlineStr">
        <is>
          <t>https://www.mittrchina.com/news/detail/16974</t>
        </is>
      </c>
      <c r="H107" t="inlineStr">
        <is>
          <t>AI垂直类</t>
        </is>
      </c>
      <c r="I107" t="inlineStr">
        <is>
          <t>T-IND-001</t>
        </is>
      </c>
      <c r="J107" t="inlineStr">
        <is>
          <t>行业</t>
        </is>
      </c>
      <c r="K107" t="n">
        <v>4</v>
      </c>
      <c r="L107" t="inlineStr">
        <is>
          <t>要点待人工补充</t>
        </is>
      </c>
      <c r="Q107" t="inlineStr">
        <is>
          <t>想要让AI变强，一定要重新训练模型吗？谷歌想尝试一种新思路：与其不断改模型，不如先让AI学会改进自己解决问题的方法。近日，Google、GoogleDeepMind、马里兰大学和弗吉尼亚大学的研究人员提出了一个名为Dre…</t>
        </is>
      </c>
      <c r="R107" t="inlineStr">
        <is>
          <t>自动抓取条目；下钻原文并人工核对归属公司与口径。</t>
        </is>
      </c>
      <c r="S107" t="inlineStr">
        <is>
          <t>全文已缓存</t>
        </is>
      </c>
      <c r="U107" t="inlineStr">
        <is>
          <t>自动爬取·待人工复核</t>
        </is>
      </c>
    </row>
    <row r="108">
      <c r="A108" t="inlineStr">
        <is>
          <t>INT-20260921-118</t>
        </is>
      </c>
      <c r="B108" t="inlineStr">
        <is>
          <t>1789722266</t>
        </is>
      </c>
      <c r="C108" t="inlineStr">
        <is>
          <t>2026-09-21</t>
        </is>
      </c>
      <c r="D108" t="inlineStr">
        <is>
          <t>SRC001</t>
        </is>
      </c>
      <c r="E108" t="inlineStr">
        <is>
          <t>Deeptech深科技</t>
        </is>
      </c>
      <c r="F108" t="inlineStr">
        <is>
          <t>机器人进家门就能直接干活？Figure AI宣称实现零样本全身泛化，但同行并不买账</t>
        </is>
      </c>
      <c r="G108" t="inlineStr">
        <is>
          <t>https://www.mittrchina.com/news/detail/16973</t>
        </is>
      </c>
      <c r="H108" t="inlineStr">
        <is>
          <t>AI垂直类</t>
        </is>
      </c>
      <c r="I108" t="inlineStr">
        <is>
          <t>T-IND-001</t>
        </is>
      </c>
      <c r="J108" t="inlineStr">
        <is>
          <t>行业</t>
        </is>
      </c>
      <c r="K108" t="n">
        <v>3</v>
      </c>
      <c r="L108" t="inlineStr">
        <is>
          <t>要点待人工补充</t>
        </is>
      </c>
      <c r="Q108" t="inlineStr">
        <is>
          <t>9月17日，美国人形机器人公司FigureAI创始人BrettAdcock在X上留下了一句简短的预告：“我们在Figure实现了一项AI突破，并将在明天展示。”…</t>
        </is>
      </c>
      <c r="R108" t="inlineStr">
        <is>
          <t>自动抓取条目；下钻原文并人工核对归属公司与口径。</t>
        </is>
      </c>
      <c r="S108" t="inlineStr">
        <is>
          <t>全文已缓存</t>
        </is>
      </c>
      <c r="U108" t="inlineStr">
        <is>
          <t>自动爬取·待人工复核</t>
        </is>
      </c>
    </row>
    <row r="109">
      <c r="A109" t="inlineStr">
        <is>
          <t>INT-20260921-119</t>
        </is>
      </c>
      <c r="B109" t="inlineStr">
        <is>
          <t>1789694755</t>
        </is>
      </c>
      <c r="C109" t="inlineStr">
        <is>
          <t>2026-09-21</t>
        </is>
      </c>
      <c r="D109" t="inlineStr">
        <is>
          <t>SRC001</t>
        </is>
      </c>
      <c r="E109" t="inlineStr">
        <is>
          <t>Deeptech深科技</t>
        </is>
      </c>
      <c r="F109" t="inlineStr">
        <is>
          <t>药企的私有数据，正在成为AI药物研发最强燃料</t>
        </is>
      </c>
      <c r="G109" t="inlineStr">
        <is>
          <t>https://www.mittrchina.com/news/detail/16970</t>
        </is>
      </c>
      <c r="H109" t="inlineStr">
        <is>
          <t>AI垂直类</t>
        </is>
      </c>
      <c r="I109" t="inlineStr">
        <is>
          <t>T-IND-001</t>
        </is>
      </c>
      <c r="J109" t="inlineStr">
        <is>
          <t>行业</t>
        </is>
      </c>
      <c r="K109" t="n">
        <v>3</v>
      </c>
      <c r="L109" t="inlineStr">
        <is>
          <t>共折叠模型AlphaFold3发布</t>
        </is>
      </c>
      <c r="Q109" t="inlineStr">
        <is>
          <t>以AlphaFold系列为代表的蛋白质模型，在预测结构方面已经表现得很好。2024年，共折叠模型AlphaFold3发布，宣称可进一步预测蛋白质与多种分子组成的联合三维结构，但现实是，它在真实药物研发场景中的精度远未达到…</t>
        </is>
      </c>
      <c r="R109" t="inlineStr">
        <is>
          <t>自动抓取条目；下钻原文并人工核对归属公司与口径。</t>
        </is>
      </c>
      <c r="S109" t="inlineStr">
        <is>
          <t>全文已缓存</t>
        </is>
      </c>
      <c r="U109" t="inlineStr">
        <is>
          <t>自动爬取·待人工复核</t>
        </is>
      </c>
    </row>
    <row r="110">
      <c r="A110" t="inlineStr">
        <is>
          <t>INT-20260921-120</t>
        </is>
      </c>
      <c r="B110" t="inlineStr">
        <is>
          <t>1789694408</t>
        </is>
      </c>
      <c r="C110" t="inlineStr">
        <is>
          <t>2026-09-21</t>
        </is>
      </c>
      <c r="D110" t="inlineStr">
        <is>
          <t>SRC001</t>
        </is>
      </c>
      <c r="E110" t="inlineStr">
        <is>
          <t>Deeptech深科技</t>
        </is>
      </c>
      <c r="F110" t="inlineStr">
        <is>
          <t>对话清华卢志：当AI看向生命深处，我们能发现什么</t>
        </is>
      </c>
      <c r="G110" t="inlineStr">
        <is>
          <t>https://www.mittrchina.com/news/detail/16969</t>
        </is>
      </c>
      <c r="H110" t="inlineStr">
        <is>
          <t>AI垂直类</t>
        </is>
      </c>
      <c r="I110" t="inlineStr">
        <is>
          <t>T-IND-001</t>
        </is>
      </c>
      <c r="J110" t="inlineStr">
        <is>
          <t>行业</t>
        </is>
      </c>
      <c r="K110" t="n">
        <v>3</v>
      </c>
      <c r="L110" t="inlineStr">
        <is>
          <t>要点待人工补充</t>
        </is>
      </c>
      <c r="Q110" t="inlineStr">
        <is>
          <t>“这项研究更像玩具，而不是工具。”这句审稿人的评价，卢志记了很多年。…</t>
        </is>
      </c>
      <c r="R110" t="inlineStr">
        <is>
          <t>自动抓取条目；下钻原文并人工核对归属公司与口径。</t>
        </is>
      </c>
      <c r="S110" t="inlineStr">
        <is>
          <t>全文已缓存</t>
        </is>
      </c>
      <c r="U110" t="inlineStr">
        <is>
          <t>自动爬取·待人工复核</t>
        </is>
      </c>
    </row>
    <row r="111">
      <c r="A111" t="inlineStr">
        <is>
          <t>INT-20260921-121</t>
        </is>
      </c>
      <c r="B111" t="inlineStr">
        <is>
          <t>1789630967</t>
        </is>
      </c>
      <c r="C111" t="inlineStr">
        <is>
          <t>2026-09-21</t>
        </is>
      </c>
      <c r="D111" t="inlineStr">
        <is>
          <t>SRC001</t>
        </is>
      </c>
      <c r="E111" t="inlineStr">
        <is>
          <t>Deeptech深科技</t>
        </is>
      </c>
      <c r="F111" t="inlineStr">
        <is>
          <t>20所全球顶尖高校联手造了一个“科学IDE”，想用科研经验训练AI</t>
        </is>
      </c>
      <c r="G111" t="inlineStr">
        <is>
          <t>https://www.mittrchina.com/news/detail/16967</t>
        </is>
      </c>
      <c r="H111" t="inlineStr">
        <is>
          <t>AI垂直类</t>
        </is>
      </c>
      <c r="I111" t="inlineStr">
        <is>
          <t>T-IND-001</t>
        </is>
      </c>
      <c r="J111" t="inlineStr">
        <is>
          <t>行业</t>
        </is>
      </c>
      <c r="K111" t="n">
        <v>3</v>
      </c>
      <c r="L111" t="inlineStr">
        <is>
          <t>要点待人工补充</t>
        </is>
      </c>
      <c r="Q111" t="inlineStr">
        <is>
          <t>“程序正常退出”。理论上，科研代码跑完后，终端上的这行字应该让人放心，但它背后也可能藏着不易察觉的错误。…</t>
        </is>
      </c>
      <c r="R111" t="inlineStr">
        <is>
          <t>自动抓取条目；下钻原文并人工核对归属公司与口径。</t>
        </is>
      </c>
      <c r="S111" t="inlineStr">
        <is>
          <t>全文已缓存</t>
        </is>
      </c>
      <c r="U111" t="inlineStr">
        <is>
          <t>自动爬取·待人工复核</t>
        </is>
      </c>
    </row>
    <row r="112">
      <c r="A112" t="inlineStr">
        <is>
          <t>INT-20260922-122</t>
        </is>
      </c>
      <c r="B112" t="inlineStr">
        <is>
          <t>2026-09-22</t>
        </is>
      </c>
      <c r="C112" t="inlineStr">
        <is>
          <t>2026-09-22</t>
        </is>
      </c>
      <c r="D112" t="inlineStr">
        <is>
          <t>SRC002</t>
        </is>
      </c>
      <c r="E112" t="inlineStr">
        <is>
          <t>量子位</t>
        </is>
      </c>
      <c r="F112" t="inlineStr">
        <is>
          <t>AI离“理解万物”还有多远？先拿癌细胞和行星轨道试试水 – 量子位</t>
        </is>
      </c>
      <c r="G112" t="inlineStr">
        <is>
          <t>https://www.qbitai.com/2026/09/492429.html</t>
        </is>
      </c>
      <c r="H112" t="inlineStr">
        <is>
          <t>AI垂直类</t>
        </is>
      </c>
      <c r="I112" t="inlineStr">
        <is>
          <t>T-IND-001</t>
        </is>
      </c>
      <c r="J112" t="inlineStr">
        <is>
          <t>行业</t>
        </is>
      </c>
      <c r="K112" t="n">
        <v>3</v>
      </c>
      <c r="L112" t="inlineStr">
        <is>
          <t>&gt;AI离“理解万物”还有多远？先拿癌细胞和行星轨道试试水梦瑶2026-09-1914:39:32来源：量子位</t>
        </is>
      </c>
      <c r="M112" t="inlineStr">
        <is>
          <t>提取出的“轨道频率-半长轴”关系拟合斜率达-1.4991（开普勒第三定律理论值为-1.5）</t>
        </is>
      </c>
      <c r="N112" t="inlineStr">
        <is>
          <t>且R²=0.99999999</t>
        </is>
      </c>
      <c r="Q112" t="inlineStr">
        <is>
          <t>AI离“理解万物”还有多远？先拿癌细胞和行星轨道试试水–量子位首页资讯智能车智库活动MEET大会AIGC扫码关注量子位--&gt;AI离“理解万物”还有多远？先拿癌细胞和行星轨道试试水梦瑶2026-09-1914:39:32来…</t>
        </is>
      </c>
      <c r="R112" t="inlineStr">
        <is>
          <t>自动抓取条目；下钻原文并人工核对归属公司与口径。</t>
        </is>
      </c>
      <c r="S112" t="inlineStr">
        <is>
          <t>全文已缓存</t>
        </is>
      </c>
      <c r="U112" t="inlineStr">
        <is>
          <t>自动爬取·待人工复核</t>
        </is>
      </c>
    </row>
    <row r="113">
      <c r="A113" t="inlineStr">
        <is>
          <t>INT-20260922-123</t>
        </is>
      </c>
      <c r="B113" t="inlineStr">
        <is>
          <t>2026-09-22</t>
        </is>
      </c>
      <c r="C113" t="inlineStr">
        <is>
          <t>2026-09-22</t>
        </is>
      </c>
      <c r="D113" t="inlineStr">
        <is>
          <t>SRC002</t>
        </is>
      </c>
      <c r="E113" t="inlineStr">
        <is>
          <t>量子位</t>
        </is>
      </c>
      <c r="F113" t="inlineStr">
        <is>
          <t>啊啊啊GPT-6 Astra这么不安全！这次马斯克都瘫坐了 – 量子位</t>
        </is>
      </c>
      <c r="G113" t="inlineStr">
        <is>
          <t>https://www.qbitai.com/2026/09/493241.html</t>
        </is>
      </c>
      <c r="H113" t="inlineStr">
        <is>
          <t>AI垂直类</t>
        </is>
      </c>
      <c r="I113" t="inlineStr">
        <is>
          <t>T-IND-001</t>
        </is>
      </c>
      <c r="J113" t="inlineStr">
        <is>
          <t>行业</t>
        </is>
      </c>
      <c r="K113" t="n">
        <v>3</v>
      </c>
      <c r="L113" t="inlineStr">
        <is>
          <t>啊啊啊GPT-6Astra这么不安全！这次马斯克都瘫坐了</t>
        </is>
      </c>
      <c r="M113" t="inlineStr">
        <is>
          <t>库活动MEET大会AIGC扫码关注量子位--&gt;啊啊啊GPT-6Astra这么不安全！这次马斯克都瘫坐了</t>
        </is>
      </c>
      <c r="N113" t="inlineStr">
        <is>
          <t>一水2026-09-2116:21:55来源：量子位97%尝试危险行为硅谷巨头集体呼吁给AI踩刹车</t>
        </is>
      </c>
      <c r="Q113" t="inlineStr">
        <is>
          <t>啊啊啊GPT-6Astra这么不安全！这次马斯克都瘫坐了–量子位首页资讯智能车智库活动MEET大会AIGC扫码关注量子位--&gt;啊啊啊GPT-6Astra这么不安全！这次马斯克都瘫坐了一水2026-09-2116:21:5…</t>
        </is>
      </c>
      <c r="R113" t="inlineStr">
        <is>
          <t>自动抓取条目；下钻原文并人工核对归属公司与口径。</t>
        </is>
      </c>
      <c r="S113" t="inlineStr">
        <is>
          <t>全文已缓存</t>
        </is>
      </c>
      <c r="U113" t="inlineStr">
        <is>
          <t>自动爬取·待人工复核</t>
        </is>
      </c>
    </row>
    <row r="114">
      <c r="A114" t="inlineStr">
        <is>
          <t>INT-20260922-124</t>
        </is>
      </c>
      <c r="B114" t="inlineStr">
        <is>
          <t>2026-09-22</t>
        </is>
      </c>
      <c r="C114" t="inlineStr">
        <is>
          <t>2026-09-22</t>
        </is>
      </c>
      <c r="D114" t="inlineStr">
        <is>
          <t>SRC002</t>
        </is>
      </c>
      <c r="E114" t="inlineStr">
        <is>
          <t>量子位</t>
        </is>
      </c>
      <c r="F114" t="inlineStr">
        <is>
          <t>长三角安全人工智能安徽省实验室发布星界、星驭、星鉴三大AI安全解决方案 – 量子位</t>
        </is>
      </c>
      <c r="G114" t="inlineStr">
        <is>
          <t>https://www.qbitai.com/2026/09/493235.html</t>
        </is>
      </c>
      <c r="H114" t="inlineStr">
        <is>
          <t>AI垂直类</t>
        </is>
      </c>
      <c r="I114" t="inlineStr">
        <is>
          <t>T-IND-001</t>
        </is>
      </c>
      <c r="J114" t="inlineStr">
        <is>
          <t>行业</t>
        </is>
      </c>
      <c r="K114" t="n">
        <v>3</v>
      </c>
      <c r="L114" t="inlineStr">
        <is>
          <t>星鉴三大AI安全解决方案量子位的朋友们2026-09-2115:52:46来源：量子位9月19日</t>
        </is>
      </c>
      <c r="M114" t="inlineStr">
        <is>
          <t>第一届中国网络空间安全大会（CCSC2026）的高水平专题论坛在安徽合肥正式举办</t>
        </is>
      </c>
      <c r="N114" t="inlineStr">
        <is>
          <t>第一届中国网络空间安全大会（CCSC2026）的高水平专题论坛——人工智能安全与应用</t>
        </is>
      </c>
      <c r="Q114" t="inlineStr">
        <is>
          <t>长三角安全人工智能安徽省实验室发布星界、星驭、星鉴三大AI安全解决方案–量子位首页资讯智能车智库活动MEET大会AIGC扫码关注量子位--&gt;长三角安全人工智能安徽省实验室发布星界、星驭、星鉴三大AI安全解决方案量子位的朋…</t>
        </is>
      </c>
      <c r="R114" t="inlineStr">
        <is>
          <t>自动抓取条目；下钻原文并人工核对归属公司与口径。</t>
        </is>
      </c>
      <c r="S114" t="inlineStr">
        <is>
          <t>全文已缓存</t>
        </is>
      </c>
      <c r="U114" t="inlineStr">
        <is>
          <t>自动爬取·待人工复核</t>
        </is>
      </c>
    </row>
    <row r="115">
      <c r="A115" t="inlineStr">
        <is>
          <t>INT-20260922-125</t>
        </is>
      </c>
      <c r="B115" t="inlineStr">
        <is>
          <t>2026-09-22</t>
        </is>
      </c>
      <c r="C115" t="inlineStr">
        <is>
          <t>2026-09-22</t>
        </is>
      </c>
      <c r="D115" t="inlineStr">
        <is>
          <t>SRC002</t>
        </is>
      </c>
      <c r="E115" t="inlineStr">
        <is>
          <t>量子位</t>
        </is>
      </c>
      <c r="F115" t="inlineStr">
        <is>
          <t>国产数据库跑出AI新能力！OceanBase登顶国际Data Agent榜单 – 量子位</t>
        </is>
      </c>
      <c r="G115" t="inlineStr">
        <is>
          <t>https://www.qbitai.com/2026/09/493231.html</t>
        </is>
      </c>
      <c r="H115" t="inlineStr">
        <is>
          <t>AI垂直类</t>
        </is>
      </c>
      <c r="I115" t="inlineStr">
        <is>
          <t>T-IND-001</t>
        </is>
      </c>
      <c r="J115" t="inlineStr">
        <is>
          <t>行业</t>
        </is>
      </c>
      <c r="K115" t="n">
        <v>3</v>
      </c>
      <c r="L115" t="inlineStr">
        <is>
          <t>ceanBase登顶国际DataAgent榜单量子位的朋友们2026-09-2115:31:26来源：量子位</t>
        </is>
      </c>
      <c r="M115" t="inlineStr">
        <is>
          <t>以90.62%的准确率位列第一</t>
        </is>
      </c>
      <c r="N115" t="inlineStr">
        <is>
          <t>成为该榜单首个准确率突破90%的参评方案</t>
        </is>
      </c>
      <c r="Q115" t="inlineStr">
        <is>
          <t>国产数据库跑出AI新能力！OceanBase登顶国际DataAgent榜单–量子位首页资讯智能车智库活动MEET大会AIGC扫码关注量子位--&gt;国产数据库跑出AI新能力！OceanBase登顶国际DataAgent榜单量…</t>
        </is>
      </c>
      <c r="R115" t="inlineStr">
        <is>
          <t>自动抓取条目；下钻原文并人工核对归属公司与口径。</t>
        </is>
      </c>
      <c r="S115" t="inlineStr">
        <is>
          <t>全文已缓存</t>
        </is>
      </c>
      <c r="U115" t="inlineStr">
        <is>
          <t>自动爬取·待人工复核</t>
        </is>
      </c>
    </row>
    <row r="116">
      <c r="A116" t="inlineStr">
        <is>
          <t>INT-20260922-126</t>
        </is>
      </c>
      <c r="B116" t="inlineStr">
        <is>
          <t>2026-09-22</t>
        </is>
      </c>
      <c r="C116" t="inlineStr">
        <is>
          <t>2026-09-22</t>
        </is>
      </c>
      <c r="D116" t="inlineStr">
        <is>
          <t>SRC002</t>
        </is>
      </c>
      <c r="E116" t="inlineStr">
        <is>
          <t>量子位</t>
        </is>
      </c>
      <c r="F116" t="inlineStr">
        <is>
          <t>GPT-6 Astra开进机器人身体！清华联手无问芯穹等开源RPent – 量子位</t>
        </is>
      </c>
      <c r="G116" t="inlineStr">
        <is>
          <t>https://www.qbitai.com/2026/09/493218.html</t>
        </is>
      </c>
      <c r="H116" t="inlineStr">
        <is>
          <t>AI垂直类</t>
        </is>
      </c>
      <c r="I116" t="inlineStr">
        <is>
          <t>T-IND-001</t>
        </is>
      </c>
      <c r="J116" t="inlineStr">
        <is>
          <t>行业</t>
        </is>
      </c>
      <c r="K116" t="n">
        <v>3</v>
      </c>
      <c r="L116" t="inlineStr">
        <is>
          <t>GPT-6Astra开进机器人身体！清华联手无问芯</t>
        </is>
      </c>
      <c r="M116" t="inlineStr">
        <is>
          <t>能车智库活动MEET大会AIGC扫码关注量子位--&gt;GPT-6Astra开进机器人身体！清华联手无问芯</t>
        </is>
      </c>
      <c r="N116" t="inlineStr">
        <is>
          <t>穹等开源RPent思邈2026-09-2114:22:37来源：量子位在物理世界真正干活的具身智能</t>
        </is>
      </c>
      <c r="Q116" t="inlineStr">
        <is>
          <t>GPT-6Astra开进机器人身体！清华联手无问芯穹等开源RPent–量子位首页资讯智能车智库活动MEET大会AIGC扫码关注量子位--&gt;GPT-6Astra开进机器人身体！清华联手无问芯穹等开源RPent思邈2026-…</t>
        </is>
      </c>
      <c r="R116" t="inlineStr">
        <is>
          <t>自动抓取条目；下钻原文并人工核对归属公司与口径。</t>
        </is>
      </c>
      <c r="S116" t="inlineStr">
        <is>
          <t>全文已缓存</t>
        </is>
      </c>
      <c r="U116" t="inlineStr">
        <is>
          <t>自动爬取·待人工复核</t>
        </is>
      </c>
    </row>
    <row r="117">
      <c r="A117" t="inlineStr">
        <is>
          <t>INT-20260922-127</t>
        </is>
      </c>
      <c r="B117" t="inlineStr">
        <is>
          <t>2026-09-22</t>
        </is>
      </c>
      <c r="C117" t="inlineStr">
        <is>
          <t>2026-09-22</t>
        </is>
      </c>
      <c r="D117" t="inlineStr">
        <is>
          <t>SRC002</t>
        </is>
      </c>
      <c r="E117" t="inlineStr">
        <is>
          <t>量子位</t>
        </is>
      </c>
      <c r="F117" t="inlineStr">
        <is>
          <t>百曜科技发起，《AI虚拟细胞（AIVC）技术趋势、产业生态与应用前景研究报告》正式发布 – 量子位</t>
        </is>
      </c>
      <c r="G117" t="inlineStr">
        <is>
          <t>https://www.qbitai.com/2026/09/493114.html</t>
        </is>
      </c>
      <c r="H117" t="inlineStr">
        <is>
          <t>AI垂直类</t>
        </is>
      </c>
      <c r="I117" t="inlineStr">
        <is>
          <t>T-IND-001</t>
        </is>
      </c>
      <c r="J117" t="inlineStr">
        <is>
          <t>行业</t>
        </is>
      </c>
      <c r="K117" t="n">
        <v>3</v>
      </c>
      <c r="L117" t="inlineStr">
        <is>
          <t>产业生态与应用前景研究报告》正式发布量子位的朋友们2026-09-2110:28:46来源：量子位《AI</t>
        </is>
      </c>
      <c r="Q117" t="inlineStr">
        <is>
          <t>百曜科技发起，《AI虚拟细胞（AIVC）技术趋势、产业生态与应用前景研究报告》正式发布–量子位首页资讯智能车智库活动MEET大会AIGC扫码关注量子位--&gt;百曜科技发起，《AI虚拟细胞（AIVC）技术趋势、产业生态与应用…</t>
        </is>
      </c>
      <c r="R117" t="inlineStr">
        <is>
          <t>自动抓取条目；下钻原文并人工核对归属公司与口径。</t>
        </is>
      </c>
      <c r="S117" t="inlineStr">
        <is>
          <t>全文已缓存</t>
        </is>
      </c>
      <c r="U117" t="inlineStr">
        <is>
          <t>自动爬取·待人工复核</t>
        </is>
      </c>
    </row>
    <row r="118">
      <c r="A118" t="inlineStr">
        <is>
          <t>INT-20260922-128</t>
        </is>
      </c>
      <c r="B118" t="inlineStr">
        <is>
          <t>2026-09-22</t>
        </is>
      </c>
      <c r="C118" t="inlineStr">
        <is>
          <t>2026-09-22</t>
        </is>
      </c>
      <c r="D118" t="inlineStr">
        <is>
          <t>SRC002</t>
        </is>
      </c>
      <c r="E118" t="inlineStr">
        <is>
          <t>量子位</t>
        </is>
      </c>
      <c r="F118" t="inlineStr">
        <is>
          <t>IDC评估中国AI算力管理平台:范式智能四项维度获满分，综合评分第一 – 量子位</t>
        </is>
      </c>
      <c r="G118" t="inlineStr">
        <is>
          <t>https://www.qbitai.com/2026/09/493109.html</t>
        </is>
      </c>
      <c r="H118" t="inlineStr">
        <is>
          <t>AI垂直类</t>
        </is>
      </c>
      <c r="I118" t="inlineStr">
        <is>
          <t>T-CAPEX-001</t>
        </is>
      </c>
      <c r="J118" t="inlineStr">
        <is>
          <t>行业</t>
        </is>
      </c>
      <c r="K118" t="n">
        <v>3</v>
      </c>
      <c r="L118" t="inlineStr">
        <is>
          <t>综合评分第一量子位的朋友们2026-09-2110:17:33来源：量子位范式成为《中国AI算力管理平</t>
        </is>
      </c>
      <c r="M118" t="inlineStr">
        <is>
          <t>2026》综合评分位列第一的厂商</t>
        </is>
      </c>
      <c r="N118" t="inlineStr">
        <is>
          <t>2026年9月21日】全球知名的科技市场研究机构IDC发布</t>
        </is>
      </c>
      <c r="Q118" t="inlineStr">
        <is>
          <t>IDC评估中国AI算力管理平台:范式智能四项维度获满分，综合评分第一–量子位首页资讯智能车智库活动MEET大会AIGC扫码关注量子位--&gt;IDC评估中国AI算力管理平台:范式智能四项维度获满分，综合评分第一量子位的朋友们…</t>
        </is>
      </c>
      <c r="R118" t="inlineStr">
        <is>
          <t>自动抓取条目；下钻原文并人工核对归属公司与口径。</t>
        </is>
      </c>
      <c r="S118" t="inlineStr">
        <is>
          <t>全文已缓存</t>
        </is>
      </c>
      <c r="U118" t="inlineStr">
        <is>
          <t>自动爬取·待人工复核</t>
        </is>
      </c>
    </row>
    <row r="119">
      <c r="A119" t="inlineStr">
        <is>
          <t>INT-20260922-129</t>
        </is>
      </c>
      <c r="B119" t="inlineStr">
        <is>
          <t>2026-09-22</t>
        </is>
      </c>
      <c r="C119" t="inlineStr">
        <is>
          <t>2026-09-22</t>
        </is>
      </c>
      <c r="D119" t="inlineStr">
        <is>
          <t>SRC002</t>
        </is>
      </c>
      <c r="E119" t="inlineStr">
        <is>
          <t>量子位</t>
        </is>
      </c>
      <c r="F119" t="inlineStr">
        <is>
          <t>汽车行业首个AI超级智能体「迪迪虾」来了！腾势多款车型即将OTA – 量子位</t>
        </is>
      </c>
      <c r="G119" t="inlineStr">
        <is>
          <t>https://www.qbitai.com/2026/09/493091.html</t>
        </is>
      </c>
      <c r="H119" t="inlineStr">
        <is>
          <t>AI垂直类</t>
        </is>
      </c>
      <c r="I119" t="inlineStr">
        <is>
          <t>T-IND-001</t>
        </is>
      </c>
      <c r="J119" t="inlineStr">
        <is>
          <t>行业</t>
        </is>
      </c>
      <c r="K119" t="n">
        <v>3</v>
      </c>
      <c r="L119" t="inlineStr">
        <is>
          <t>级智能体「迪迪虾」来了！腾势多款车型即将OTA量子位的朋友们2026-09-2109:48:50来源：量子位</t>
        </is>
      </c>
      <c r="M119" t="inlineStr">
        <is>
          <t>首搭腾势N8L纯电车型上近日</t>
        </is>
      </c>
      <c r="N119" t="inlineStr">
        <is>
          <t>首搭腾势N8L纯电车型上</t>
        </is>
      </c>
      <c r="Q119" t="inlineStr">
        <is>
          <t>汽车行业首个AI超级智能体「迪迪虾」来了！腾势多款车型即将OTA–量子位首页资讯智能车智库活动MEET大会AIGC扫码关注量子位--&gt;汽车行业首个AI超级智能体「迪迪虾」来了！腾势多款车型即将OTA量子位的朋友们2026…</t>
        </is>
      </c>
      <c r="R119" t="inlineStr">
        <is>
          <t>自动抓取条目；下钻原文并人工核对归属公司与口径。</t>
        </is>
      </c>
      <c r="S119" t="inlineStr">
        <is>
          <t>全文已缓存</t>
        </is>
      </c>
      <c r="U119" t="inlineStr">
        <is>
          <t>自动爬取·待人工复核</t>
        </is>
      </c>
    </row>
    <row r="120">
      <c r="A120" t="inlineStr">
        <is>
          <t>INT-20260922-130</t>
        </is>
      </c>
      <c r="B120" t="inlineStr">
        <is>
          <t>1789988107</t>
        </is>
      </c>
      <c r="C120" t="inlineStr">
        <is>
          <t>2026-09-22</t>
        </is>
      </c>
      <c r="D120" t="inlineStr">
        <is>
          <t>SRC001</t>
        </is>
      </c>
      <c r="E120" t="inlineStr">
        <is>
          <t>Deeptech深科技</t>
        </is>
      </c>
      <c r="F120" t="inlineStr">
        <is>
          <t>爆火一周后，Jev正式全面开放：一个“不会说话”的AI，为何风靡硅谷？</t>
        </is>
      </c>
      <c r="G120" t="inlineStr">
        <is>
          <t>https://www.mittrchina.com/news/detail/16994</t>
        </is>
      </c>
      <c r="H120" t="inlineStr">
        <is>
          <t>AI垂直类</t>
        </is>
      </c>
      <c r="I120" t="inlineStr">
        <is>
          <t>T-IND-001</t>
        </is>
      </c>
      <c r="J120" t="inlineStr">
        <is>
          <t>行业</t>
        </is>
      </c>
      <c r="K120" t="n">
        <v>3</v>
      </c>
      <c r="L120" t="inlineStr">
        <is>
          <t>要点待人工补充</t>
        </is>
      </c>
      <c r="Q120" t="inlineStr">
        <is>
          <t>9月21日，过去一周迅速走红的AI模型Jev，正式宣布向所有用户开放。…</t>
        </is>
      </c>
      <c r="R120" t="inlineStr">
        <is>
          <t>自动抓取条目；下钻原文并人工核对归属公司与口径。</t>
        </is>
      </c>
      <c r="S120" t="inlineStr">
        <is>
          <t>全文已缓存</t>
        </is>
      </c>
      <c r="U120" t="inlineStr">
        <is>
          <t>自动爬取·待人工复核</t>
        </is>
      </c>
    </row>
    <row r="121">
      <c r="A121" t="inlineStr">
        <is>
          <t>INT-20260922-131</t>
        </is>
      </c>
      <c r="B121" t="inlineStr">
        <is>
          <t>1789981286</t>
        </is>
      </c>
      <c r="C121" t="inlineStr">
        <is>
          <t>2026-09-22</t>
        </is>
      </c>
      <c r="D121" t="inlineStr">
        <is>
          <t>SRC001</t>
        </is>
      </c>
      <c r="E121" t="inlineStr">
        <is>
          <t>Deeptech深科技</t>
        </is>
      </c>
      <c r="F121" t="inlineStr">
        <is>
          <t>AI会带来新一轮的经济泡沫吗？</t>
        </is>
      </c>
      <c r="G121" t="inlineStr">
        <is>
          <t>https://www.mittrchina.com/news/detail/16992</t>
        </is>
      </c>
      <c r="H121" t="inlineStr">
        <is>
          <t>AI垂直类</t>
        </is>
      </c>
      <c r="I121" t="inlineStr">
        <is>
          <t>T-IND-001</t>
        </is>
      </c>
      <c r="J121" t="inlineStr">
        <is>
          <t>行业</t>
        </is>
      </c>
      <c r="K121" t="n">
        <v>3</v>
      </c>
      <c r="L121" t="inlineStr">
        <is>
          <t>要点待人工补充</t>
        </is>
      </c>
      <c r="Q121" t="inlineStr">
        <is>
          <t>当宾夕法尼亚大学沃顿商学院金融学教授杰西卡·瓦赫特（JessicaWachter）试图评估未来几年AI将如何影响经济时，她首先面对的是一长串商业和技术上的不确定性。于是，她决定从一个几乎没有争议的“惊人事实”出发：少数几…</t>
        </is>
      </c>
      <c r="R121" t="inlineStr">
        <is>
          <t>自动抓取条目；下钻原文并人工核对归属公司与口径。</t>
        </is>
      </c>
      <c r="S121" t="inlineStr">
        <is>
          <t>全文已缓存</t>
        </is>
      </c>
      <c r="U121" t="inlineStr">
        <is>
          <t>自动爬取·待人工复核</t>
        </is>
      </c>
    </row>
    <row r="122">
      <c r="A122" t="inlineStr">
        <is>
          <t>INT-20260922-132</t>
        </is>
      </c>
      <c r="B122" t="inlineStr">
        <is>
          <t>1789980796</t>
        </is>
      </c>
      <c r="C122" t="inlineStr">
        <is>
          <t>2026-09-22</t>
        </is>
      </c>
      <c r="D122" t="inlineStr">
        <is>
          <t>SRC001</t>
        </is>
      </c>
      <c r="E122" t="inlineStr">
        <is>
          <t>Deeptech深科技</t>
        </is>
      </c>
      <c r="F122" t="inlineStr">
        <is>
          <t>AI虚拟细胞是什么？一篇报告说清楚</t>
        </is>
      </c>
      <c r="G122" t="inlineStr">
        <is>
          <t>https://www.mittrchina.com/news/detail/16991</t>
        </is>
      </c>
      <c r="H122" t="inlineStr">
        <is>
          <t>AI垂直类</t>
        </is>
      </c>
      <c r="I122" t="inlineStr">
        <is>
          <t>T-IND-001</t>
        </is>
      </c>
      <c r="J122" t="inlineStr">
        <is>
          <t>行业</t>
        </is>
      </c>
      <c r="K122" t="n">
        <v>3</v>
      </c>
      <c r="L122" t="inlineStr">
        <is>
          <t>要点待人工补充</t>
        </is>
      </c>
      <c r="Q122" t="inlineStr">
        <is>
          <t>互联网之于信息产业，基因组计划之于现代生物学，每一代基础设施的建成，都会极大拓展整个领域的可能性。如今，生命科学也将迎来新一层基础设施：AI虚拟细胞（AIVirtualCell，AIVC）。…</t>
        </is>
      </c>
      <c r="R122" t="inlineStr">
        <is>
          <t>自动抓取条目；下钻原文并人工核对归属公司与口径。</t>
        </is>
      </c>
      <c r="S122" t="inlineStr">
        <is>
          <t>全文已缓存</t>
        </is>
      </c>
      <c r="U122" t="inlineStr">
        <is>
          <t>自动爬取·待人工复核</t>
        </is>
      </c>
    </row>
    <row r="123">
      <c r="A123" t="inlineStr">
        <is>
          <t>INT-20260923-133</t>
        </is>
      </c>
      <c r="B123" t="inlineStr">
        <is>
          <t>2026-09-23</t>
        </is>
      </c>
      <c r="C123" t="inlineStr">
        <is>
          <t>2026-09-23</t>
        </is>
      </c>
      <c r="D123" t="inlineStr">
        <is>
          <t>SRC004</t>
        </is>
      </c>
      <c r="E123" t="inlineStr">
        <is>
          <t>虎嗅</t>
        </is>
      </c>
      <c r="F123" t="inlineStr">
        <is>
          <t>智谱能过关吗？</t>
        </is>
      </c>
      <c r="G123" t="inlineStr">
        <is>
          <t>https://m.huxiu.com/article/4893347.html</t>
        </is>
      </c>
      <c r="H123" t="inlineStr">
        <is>
          <t>AI垂直类</t>
        </is>
      </c>
      <c r="I123" t="inlineStr">
        <is>
          <t>T-IND-001</t>
        </is>
      </c>
      <c r="J123" t="inlineStr">
        <is>
          <t>行业</t>
        </is>
      </c>
      <c r="K123" t="n">
        <v>4</v>
      </c>
      <c r="L123" t="inlineStr">
        <is>
          <t>智谱能过关吗？-虎嗅网2026-09-2308:28智谱能过关吗？岳涌大江流©速览本文来自微</t>
        </is>
      </c>
      <c r="M123" t="inlineStr">
        <is>
          <t>Anthropic发布了一份154页的安全报告</t>
        </is>
      </c>
      <c r="N123" t="inlineStr">
        <is>
          <t>一位开发者在本地发现了一个313MB的加密压缩包</t>
        </is>
      </c>
      <c r="Q123" t="inlineStr">
        <is>
          <t>智谱能过关吗？-虎嗅网2026-09-2308:28智谱能过关吗？岳涌大江流©速览本文来自微信公众号：岳涌大江流，作者：岳老狮这两天，智谱可能遇到了成立以来最棘手的一次信任考验。有意思的是，这场风波发生的时间点，实在太巧…</t>
        </is>
      </c>
      <c r="R123" t="inlineStr">
        <is>
          <t>自动抓取条目；下钻原文并人工核对归属公司与口径。</t>
        </is>
      </c>
      <c r="S123" t="inlineStr">
        <is>
          <t>全文已缓存</t>
        </is>
      </c>
      <c r="U123" t="inlineStr">
        <is>
          <t>自动爬取·待人工复核</t>
        </is>
      </c>
    </row>
    <row r="124">
      <c r="A124" t="inlineStr">
        <is>
          <t>INT-20260923-134</t>
        </is>
      </c>
      <c r="B124" t="inlineStr">
        <is>
          <t>2026-09-23</t>
        </is>
      </c>
      <c r="C124" t="inlineStr">
        <is>
          <t>2026-09-23</t>
        </is>
      </c>
      <c r="D124" t="inlineStr">
        <is>
          <t>SRC004</t>
        </is>
      </c>
      <c r="E124" t="inlineStr">
        <is>
          <t>虎嗅</t>
        </is>
      </c>
      <c r="F124" t="inlineStr">
        <is>
          <t>刚刚，GPT-6新模型掀桌，“白菜价”杀进DeepSeek 腹地</t>
        </is>
      </c>
      <c r="G124" t="inlineStr">
        <is>
          <t>https://m.huxiu.com/article/4893346.html</t>
        </is>
      </c>
      <c r="H124" t="inlineStr">
        <is>
          <t>AI垂直类</t>
        </is>
      </c>
      <c r="I124" t="inlineStr">
        <is>
          <t>T-IND-001</t>
        </is>
      </c>
      <c r="J124" t="inlineStr">
        <is>
          <t>行业</t>
        </is>
      </c>
      <c r="K124" t="n">
        <v>3</v>
      </c>
      <c r="L124" t="inlineStr">
        <is>
          <t>GPT-6新模型掀桌</t>
        </is>
      </c>
      <c r="M124" t="inlineStr">
        <is>
          <t>“白菜价”杀进DeepSeek腹地-虎嗅网2026-09-2308:27刚刚</t>
        </is>
      </c>
      <c r="N124" t="inlineStr">
        <is>
          <t>GPT-6新模型掀桌！「白菜价」杀进DeepSee</t>
        </is>
      </c>
      <c r="Q124" t="inlineStr">
        <is>
          <t>刚刚，GPT-6新模型掀桌，“白菜价”杀进DeepSeek腹地-虎嗅网2026-09-2308:27刚刚，GPT-6新模型掀桌，“白菜价”杀进DeepSeek腹地AppSo速览本文来自微信公众号：APPSO，作者：发现明…</t>
        </is>
      </c>
      <c r="R124" t="inlineStr">
        <is>
          <t>自动抓取条目；下钻原文并人工核对归属公司与口径。</t>
        </is>
      </c>
      <c r="S124" t="inlineStr">
        <is>
          <t>全文已缓存</t>
        </is>
      </c>
      <c r="U124" t="inlineStr">
        <is>
          <t>自动爬取·待人工复核</t>
        </is>
      </c>
    </row>
    <row r="125">
      <c r="A125" t="inlineStr">
        <is>
          <t>INT-20260923-135</t>
        </is>
      </c>
      <c r="B125" t="inlineStr">
        <is>
          <t>2026-09-23</t>
        </is>
      </c>
      <c r="C125" t="inlineStr">
        <is>
          <t>2026-09-23</t>
        </is>
      </c>
      <c r="D125" t="inlineStr">
        <is>
          <t>SRC004</t>
        </is>
      </c>
      <c r="E125" t="inlineStr">
        <is>
          <t>虎嗅</t>
        </is>
      </c>
      <c r="F125" t="inlineStr">
        <is>
          <t>Anthropic深夜放大招：Claude Opus5.5上线，任务成本大降40%</t>
        </is>
      </c>
      <c r="G125" t="inlineStr">
        <is>
          <t>https://m.huxiu.com/article/4893345.html</t>
        </is>
      </c>
      <c r="H125" t="inlineStr">
        <is>
          <t>AI垂直类</t>
        </is>
      </c>
      <c r="I125" t="inlineStr">
        <is>
          <t>T-IND-001</t>
        </is>
      </c>
      <c r="J125" t="inlineStr">
        <is>
          <t>行业</t>
        </is>
      </c>
      <c r="K125" t="n">
        <v>4</v>
      </c>
      <c r="L125" t="inlineStr">
        <is>
          <t>Anthropic深夜放大招：ClaudeOpus5.5上线</t>
        </is>
      </c>
      <c r="M125" t="inlineStr">
        <is>
          <t>任务成本大降40%-虎嗅网2026-09-2308:23Anthropic深夜放大招：Claud</t>
        </is>
      </c>
      <c r="N125" t="inlineStr">
        <is>
          <t>eOpus5.5上线</t>
        </is>
      </c>
      <c r="Q125" t="inlineStr">
        <is>
          <t>Anthropic深夜放大招：ClaudeOpus5.5上线，任务成本大降40%-虎嗅网2026-09-2308:23Anthropic深夜放大招：ClaudeOpus5.5上线，任务成本大降40%智东西速览本文来自微信…</t>
        </is>
      </c>
      <c r="R125" t="inlineStr">
        <is>
          <t>自动抓取条目；下钻原文并人工核对归属公司与口径。</t>
        </is>
      </c>
      <c r="S125" t="inlineStr">
        <is>
          <t>全文已缓存</t>
        </is>
      </c>
      <c r="U125" t="inlineStr">
        <is>
          <t>自动爬取·待人工复核</t>
        </is>
      </c>
    </row>
    <row r="126">
      <c r="A126" t="inlineStr">
        <is>
          <t>INT-20260923-136</t>
        </is>
      </c>
      <c r="B126" t="inlineStr">
        <is>
          <t>2026-09-23</t>
        </is>
      </c>
      <c r="C126" t="inlineStr">
        <is>
          <t>2026-09-23</t>
        </is>
      </c>
      <c r="D126" t="inlineStr">
        <is>
          <t>SRC004</t>
        </is>
      </c>
      <c r="E126" t="inlineStr">
        <is>
          <t>虎嗅</t>
        </is>
      </c>
      <c r="F126" t="inlineStr">
        <is>
          <t>菲尔兹奖得主迪米尼-科潘：我不用AI做创造性工作</t>
        </is>
      </c>
      <c r="G126" t="inlineStr">
        <is>
          <t>https://m.huxiu.com/article/4893341.html</t>
        </is>
      </c>
      <c r="H126" t="inlineStr">
        <is>
          <t>AI垂直类</t>
        </is>
      </c>
      <c r="I126" t="inlineStr">
        <is>
          <t>T-IND-001</t>
        </is>
      </c>
      <c r="J126" t="inlineStr">
        <is>
          <t>行业</t>
        </is>
      </c>
      <c r="K126" t="n">
        <v>3</v>
      </c>
      <c r="L126" t="inlineStr">
        <is>
          <t>菲尔兹奖得主迪米尼-科潘：我不用AI做创造性工作-虎嗅网2026-09-2308:06菲尔兹奖得主迪米尼</t>
        </is>
      </c>
      <c r="M126" t="inlineStr">
        <is>
          <t>经授权译自8月30日发表于ProofsandPrompts</t>
        </is>
      </c>
      <c r="Q126" t="inlineStr">
        <is>
          <t>菲尔兹奖得主迪米尼-科潘：我不用AI做创造性工作-虎嗅网2026-09-2308:06菲尔兹奖得主迪米尼-科潘：我不用AI做创造性工作返朴速览本文来自微信公众号：返朴，作者：雨果·迪米尼-科潘今年春天，AI给出了一个渗流…</t>
        </is>
      </c>
      <c r="R126" t="inlineStr">
        <is>
          <t>自动抓取条目；下钻原文并人工核对归属公司与口径。</t>
        </is>
      </c>
      <c r="S126" t="inlineStr">
        <is>
          <t>全文已缓存</t>
        </is>
      </c>
      <c r="U126" t="inlineStr">
        <is>
          <t>自动爬取·待人工复核</t>
        </is>
      </c>
    </row>
    <row r="127">
      <c r="A127" t="inlineStr">
        <is>
          <t>INT-20260923-137</t>
        </is>
      </c>
      <c r="B127" t="inlineStr">
        <is>
          <t>2026-09-23</t>
        </is>
      </c>
      <c r="C127" t="inlineStr">
        <is>
          <t>2026-09-23</t>
        </is>
      </c>
      <c r="D127" t="inlineStr">
        <is>
          <t>SRC004</t>
        </is>
      </c>
      <c r="E127" t="inlineStr">
        <is>
          <t>虎嗅</t>
        </is>
      </c>
      <c r="F127" t="inlineStr">
        <is>
          <t>一夜三连发，Claude Opus5.5、GPT-6 Sol和Luna全部都来了。</t>
        </is>
      </c>
      <c r="G127" t="inlineStr">
        <is>
          <t>https://m.huxiu.com/article/4893337.html</t>
        </is>
      </c>
      <c r="H127" t="inlineStr">
        <is>
          <t>AI垂直类</t>
        </is>
      </c>
      <c r="I127" t="inlineStr">
        <is>
          <t>T-IND-001</t>
        </is>
      </c>
      <c r="J127" t="inlineStr">
        <is>
          <t>行业</t>
        </is>
      </c>
      <c r="K127" t="n">
        <v>3</v>
      </c>
      <c r="L127" t="inlineStr">
        <is>
          <t>ClaudeOpus5.5</t>
        </is>
      </c>
      <c r="M127" t="inlineStr">
        <is>
          <t>GPT-6Sol和Luna全部都来了</t>
        </is>
      </c>
      <c r="N127" t="inlineStr">
        <is>
          <t>-虎嗅网2026-09-2307:40一夜三连发</t>
        </is>
      </c>
      <c r="Q127" t="inlineStr">
        <is>
          <t>一夜三连发，ClaudeOpus5.5、GPT-6Sol和Luna全部都来了。-虎嗅网2026-09-2307:40一夜三连发，ClaudeOpus5.5、GPT-6Sol和Luna全部都来了。数字生命卡兹克©速览本文来…</t>
        </is>
      </c>
      <c r="R127" t="inlineStr">
        <is>
          <t>自动抓取条目；下钻原文并人工核对归属公司与口径。</t>
        </is>
      </c>
      <c r="S127" t="inlineStr">
        <is>
          <t>全文已缓存</t>
        </is>
      </c>
      <c r="U127" t="inlineStr">
        <is>
          <t>自动爬取·待人工复核</t>
        </is>
      </c>
    </row>
    <row r="128">
      <c r="A128" t="inlineStr">
        <is>
          <t>INT-20260923-138</t>
        </is>
      </c>
      <c r="B128" t="inlineStr">
        <is>
          <t>2026-09-23</t>
        </is>
      </c>
      <c r="C128" t="inlineStr">
        <is>
          <t>2026-09-23</t>
        </is>
      </c>
      <c r="D128" t="inlineStr">
        <is>
          <t>SRC002</t>
        </is>
      </c>
      <c r="E128" t="inlineStr">
        <is>
          <t>量子位</t>
        </is>
      </c>
      <c r="F128" t="inlineStr">
        <is>
          <t>AI算力之争不靠堆卡！浪潮信息捅破智算「能力天花板」，还瓦解了「产能焦虑」 – 量子位</t>
        </is>
      </c>
      <c r="G128" t="inlineStr">
        <is>
          <t>https://www.qbitai.com/2026/09/493363.html</t>
        </is>
      </c>
      <c r="H128" t="inlineStr">
        <is>
          <t>AI垂直类</t>
        </is>
      </c>
      <c r="I128" t="inlineStr">
        <is>
          <t>T-CAPEX-001</t>
        </is>
      </c>
      <c r="J128" t="inlineStr">
        <is>
          <t>行业</t>
        </is>
      </c>
      <c r="K128" t="n">
        <v>3</v>
      </c>
      <c r="L128" t="inlineStr">
        <is>
          <t>还瓦解了「产能焦虑」克雷西2026-09-2210:22:06来源：量子位弥补算力缺口</t>
        </is>
      </c>
      <c r="M128" t="inlineStr">
        <is>
          <t>刚刚的AICC（人工智能计算大会）2026上</t>
        </is>
      </c>
      <c r="N128" t="inlineStr">
        <is>
          <t>IDC发布了《2026年中国人工智能计算力发展评估报告》</t>
        </is>
      </c>
      <c r="Q128" t="inlineStr">
        <is>
          <t>AI算力之争不靠堆卡！浪潮信息捅破智算「能力天花板」，还瓦解了「产能焦虑」–量子位首页资讯智能车智库活动MEET大会AIGC扫码关注量子位--&gt;AI算力之争不靠堆卡！浪潮信息捅破智算「能力天花板」，还瓦解了「产能焦虑」克…</t>
        </is>
      </c>
      <c r="R128" t="inlineStr">
        <is>
          <t>自动抓取条目；下钻原文并人工核对归属公司与口径。</t>
        </is>
      </c>
      <c r="S128" t="inlineStr">
        <is>
          <t>全文已缓存</t>
        </is>
      </c>
      <c r="U128" t="inlineStr">
        <is>
          <t>自动爬取·待人工复核</t>
        </is>
      </c>
    </row>
    <row r="129">
      <c r="A129" t="inlineStr">
        <is>
          <t>INT-20260923-139</t>
        </is>
      </c>
      <c r="B129" t="inlineStr">
        <is>
          <t>2026-09-23</t>
        </is>
      </c>
      <c r="C129" t="inlineStr">
        <is>
          <t>2026-09-23</t>
        </is>
      </c>
      <c r="D129" t="inlineStr">
        <is>
          <t>SRC002</t>
        </is>
      </c>
      <c r="E129" t="inlineStr">
        <is>
          <t>量子位</t>
        </is>
      </c>
      <c r="F129" t="inlineStr">
        <is>
          <t>Agent时代，CPU的价值该重估了 – 量子位</t>
        </is>
      </c>
      <c r="G129" t="inlineStr">
        <is>
          <t>https://www.qbitai.com/2026/09/494430.html</t>
        </is>
      </c>
      <c r="H129" t="inlineStr">
        <is>
          <t>AI垂直类</t>
        </is>
      </c>
      <c r="I129" t="inlineStr">
        <is>
          <t>T-IND-001</t>
        </is>
      </c>
      <c r="J129" t="inlineStr">
        <is>
          <t>行业</t>
        </is>
      </c>
      <c r="K129" t="n">
        <v>3</v>
      </c>
      <c r="L129" t="inlineStr">
        <is>
          <t>CPU的价值该重估了十三2026-09-2223:46:54来源：量子位CPU与GPU趋近1∶1金磊</t>
        </is>
      </c>
      <c r="M129" t="inlineStr">
        <is>
          <t>ent正在改变AI计算的配比——从一颗CPU搭配四颗GPU（1:4）</t>
        </is>
      </c>
      <c r="N129" t="inlineStr">
        <is>
          <t>到现在的一颗CPU搭配一颗GPU（1:1）</t>
        </is>
      </c>
      <c r="Q129" t="inlineStr">
        <is>
          <t>Agent时代，CPU的价值该重估了–量子位首页资讯智能车智库活动MEET大会AIGC扫码关注量子位--&gt;Agent时代，CPU的价值该重估了十三2026-09-2223:46:54来源：量子位CPU与GPU趋近1∶1金…</t>
        </is>
      </c>
      <c r="R129" t="inlineStr">
        <is>
          <t>自动抓取条目；下钻原文并人工核对归属公司与口径。</t>
        </is>
      </c>
      <c r="S129" t="inlineStr">
        <is>
          <t>全文已缓存</t>
        </is>
      </c>
      <c r="U129" t="inlineStr">
        <is>
          <t>自动爬取·待人工复核</t>
        </is>
      </c>
    </row>
    <row r="130">
      <c r="A130" t="inlineStr">
        <is>
          <t>INT-20260923-140</t>
        </is>
      </c>
      <c r="B130" t="inlineStr">
        <is>
          <t>2026-09-23</t>
        </is>
      </c>
      <c r="C130" t="inlineStr">
        <is>
          <t>2026-09-23</t>
        </is>
      </c>
      <c r="D130" t="inlineStr">
        <is>
          <t>SRC002</t>
        </is>
      </c>
      <c r="E130" t="inlineStr">
        <is>
          <t>量子位</t>
        </is>
      </c>
      <c r="F130" t="inlineStr">
        <is>
          <t>直播预告：未来两三年，哪些工业AI场景会率先爆发？ – 量子位</t>
        </is>
      </c>
      <c r="G130" t="inlineStr">
        <is>
          <t>https://www.qbitai.com/2026/09/494420.html</t>
        </is>
      </c>
      <c r="H130" t="inlineStr">
        <is>
          <t>AI垂直类</t>
        </is>
      </c>
      <c r="I130" t="inlineStr">
        <is>
          <t>T-IND-001</t>
        </is>
      </c>
      <c r="J130" t="inlineStr">
        <is>
          <t>行业</t>
        </is>
      </c>
      <c r="K130" t="n">
        <v>3</v>
      </c>
      <c r="L130" t="inlineStr">
        <is>
          <t>哪些工业AI场景会率先爆发？田,晏林2026-09-2222:28:59来源：量子位从真实工厂到产品</t>
        </is>
      </c>
      <c r="Q130" t="inlineStr">
        <is>
          <t>直播预告：未来两三年，哪些工业AI场景会率先爆发？–量子位首页资讯智能车智库活动MEET大会AIGC扫码关注量子位--&gt;直播预告：未来两三年，哪些工业AI场景会率先爆发？田,晏林2026-09-2222:28:59来源：…</t>
        </is>
      </c>
      <c r="R130" t="inlineStr">
        <is>
          <t>自动抓取条目；下钻原文并人工核对归属公司与口径。</t>
        </is>
      </c>
      <c r="S130" t="inlineStr">
        <is>
          <t>全文已缓存</t>
        </is>
      </c>
      <c r="U130" t="inlineStr">
        <is>
          <t>自动爬取·待人工复核</t>
        </is>
      </c>
    </row>
    <row r="131">
      <c r="A131" t="inlineStr">
        <is>
          <t>INT-20260923-141</t>
        </is>
      </c>
      <c r="B131" t="inlineStr">
        <is>
          <t>2026-09-23</t>
        </is>
      </c>
      <c r="C131" t="inlineStr">
        <is>
          <t>2026-09-23</t>
        </is>
      </c>
      <c r="D131" t="inlineStr">
        <is>
          <t>SRC002</t>
        </is>
      </c>
      <c r="E131" t="inlineStr">
        <is>
          <t>量子位</t>
        </is>
      </c>
      <c r="F131" t="inlineStr">
        <is>
          <t>讲真，我没看出这图是AI做的，更没想到是国产AI做的 – 量子位</t>
        </is>
      </c>
      <c r="G131" t="inlineStr">
        <is>
          <t>https://www.qbitai.com/2026/09/494263.html</t>
        </is>
      </c>
      <c r="H131" t="inlineStr">
        <is>
          <t>AI垂直类</t>
        </is>
      </c>
      <c r="I131" t="inlineStr">
        <is>
          <t>T-IND-001</t>
        </is>
      </c>
      <c r="J131" t="inlineStr">
        <is>
          <t>行业</t>
        </is>
      </c>
      <c r="K131" t="n">
        <v>3</v>
      </c>
      <c r="L131" t="inlineStr">
        <is>
          <t>更没想到是国产AI做的十三2026-09-2221:57:10来源：量子位商汤U1Pro</t>
        </is>
      </c>
      <c r="M131" t="inlineStr">
        <is>
          <t>这两张图片并非出自你以为的Image2.5之手</t>
        </is>
      </c>
      <c r="N131" t="inlineStr">
        <is>
          <t>来自商汤科技的SenseNovaU1Pro（下文简称U1Pro）</t>
        </is>
      </c>
      <c r="Q131" t="inlineStr">
        <is>
          <t>讲真，我没看出这图是AI做的，更没想到是国产AI做的–量子位首页资讯智能车智库活动MEET大会AIGC扫码关注量子位--&gt;讲真，我没看出这图是AI做的，更没想到是国产AI做的十三2026-09-2221:57:10来源：…</t>
        </is>
      </c>
      <c r="R131" t="inlineStr">
        <is>
          <t>自动抓取条目；下钻原文并人工核对归属公司与口径。</t>
        </is>
      </c>
      <c r="S131" t="inlineStr">
        <is>
          <t>全文已缓存</t>
        </is>
      </c>
      <c r="U131" t="inlineStr">
        <is>
          <t>自动爬取·待人工复核</t>
        </is>
      </c>
    </row>
    <row r="132">
      <c r="A132" t="inlineStr">
        <is>
          <t>INT-20260923-142</t>
        </is>
      </c>
      <c r="B132" t="inlineStr">
        <is>
          <t>2026-09-23</t>
        </is>
      </c>
      <c r="C132" t="inlineStr">
        <is>
          <t>2026-09-23</t>
        </is>
      </c>
      <c r="D132" t="inlineStr">
        <is>
          <t>SRC002</t>
        </is>
      </c>
      <c r="E132" t="inlineStr">
        <is>
          <t>量子位</t>
        </is>
      </c>
      <c r="F132" t="inlineStr">
        <is>
          <t>WebArena作者Shuyan Zhou入职Meta超级智能实验室 – 量子位</t>
        </is>
      </c>
      <c r="G132" t="inlineStr">
        <is>
          <t>https://www.qbitai.com/2026/09/493653.html</t>
        </is>
      </c>
      <c r="H132" t="inlineStr">
        <is>
          <t>AI垂直类</t>
        </is>
      </c>
      <c r="I132" t="inlineStr">
        <is>
          <t>T-IND-001</t>
        </is>
      </c>
      <c r="J132" t="inlineStr">
        <is>
          <t>行业</t>
        </is>
      </c>
      <c r="K132" t="n">
        <v>4</v>
      </c>
      <c r="L132" t="inlineStr">
        <is>
          <t>ena作者ShuyanZhou入职Meta超级智能实验室衡宇2026-09-2219:58:53来源：量子位</t>
        </is>
      </c>
      <c r="M132" t="inlineStr">
        <is>
          <t>18年本科毕业后</t>
        </is>
      </c>
      <c r="N132" t="inlineStr">
        <is>
          <t>随后2024年博士毕业</t>
        </is>
      </c>
      <c r="Q132" t="inlineStr">
        <is>
          <t>WebArena作者ShuyanZhou入职Meta超级智能实验室–量子位首页资讯智能车智库活动MEET大会AIGC扫码关注量子位--&gt;WebArena作者ShuyanZhou入职Meta超级智能实验室衡宇2026-09…</t>
        </is>
      </c>
      <c r="R132" t="inlineStr">
        <is>
          <t>自动抓取条目；下钻原文并人工核对归属公司与口径。</t>
        </is>
      </c>
      <c r="S132" t="inlineStr">
        <is>
          <t>全文已缓存</t>
        </is>
      </c>
      <c r="U132" t="inlineStr">
        <is>
          <t>自动爬取·待人工复核</t>
        </is>
      </c>
    </row>
    <row r="133">
      <c r="A133" t="inlineStr">
        <is>
          <t>INT-20260923-143</t>
        </is>
      </c>
      <c r="B133" t="inlineStr">
        <is>
          <t>2026-09-23</t>
        </is>
      </c>
      <c r="C133" t="inlineStr">
        <is>
          <t>2026-09-23</t>
        </is>
      </c>
      <c r="D133" t="inlineStr">
        <is>
          <t>SRC002</t>
        </is>
      </c>
      <c r="E133" t="inlineStr">
        <is>
          <t>量子位</t>
        </is>
      </c>
      <c r="F133" t="inlineStr">
        <is>
          <t>基元律动韩凯：从多模型调度到反馈闭环，探索Agent持续进化 – 量子位</t>
        </is>
      </c>
      <c r="G133" t="inlineStr">
        <is>
          <t>https://www.qbitai.com/2026/09/494120.html</t>
        </is>
      </c>
      <c r="H133" t="inlineStr">
        <is>
          <t>AI垂直类</t>
        </is>
      </c>
      <c r="I133" t="inlineStr">
        <is>
          <t>T-IND-001</t>
        </is>
      </c>
      <c r="J133" t="inlineStr">
        <is>
          <t>行业</t>
        </is>
      </c>
      <c r="K133" t="n">
        <v>3</v>
      </c>
      <c r="L133" t="inlineStr">
        <is>
          <t>探索Agent持续进化量子位的朋友们2026-09-2218:06:34来源：量子位9月22日</t>
        </is>
      </c>
      <c r="M133" t="inlineStr">
        <is>
          <t>在2026杭州云栖大会企业级Agent实践峰会上</t>
        </is>
      </c>
      <c r="N133" t="inlineStr">
        <is>
          <t>2026年3月</t>
        </is>
      </c>
      <c r="Q133" t="inlineStr">
        <is>
          <t>基元律动韩凯：从多模型调度到反馈闭环，探索Agent持续进化–量子位首页资讯智能车智库活动MEET大会AIGC扫码关注量子位--&gt;基元律动韩凯：从多模型调度到反馈闭环，探索Agent持续进化量子位的朋友们2026-09-…</t>
        </is>
      </c>
      <c r="R133" t="inlineStr">
        <is>
          <t>自动抓取条目；下钻原文并人工核对归属公司与口径。</t>
        </is>
      </c>
      <c r="S133" t="inlineStr">
        <is>
          <t>全文已缓存</t>
        </is>
      </c>
      <c r="U133" t="inlineStr">
        <is>
          <t>自动爬取·待人工复核</t>
        </is>
      </c>
    </row>
    <row r="134">
      <c r="A134" t="inlineStr">
        <is>
          <t>INT-20260923-144</t>
        </is>
      </c>
      <c r="B134" t="inlineStr">
        <is>
          <t>2026-09-23</t>
        </is>
      </c>
      <c r="C134" t="inlineStr">
        <is>
          <t>2026-09-23</t>
        </is>
      </c>
      <c r="D134" t="inlineStr">
        <is>
          <t>SRC002</t>
        </is>
      </c>
      <c r="E134" t="inlineStr">
        <is>
          <t>量子位</t>
        </is>
      </c>
      <c r="F134" t="inlineStr">
        <is>
          <t>虎鲸文娱推出“鲸锐AI”影视制作与管理平台，打造文娱产业新基建 – 量子位</t>
        </is>
      </c>
      <c r="G134" t="inlineStr">
        <is>
          <t>https://www.qbitai.com/2026/09/493865.html</t>
        </is>
      </c>
      <c r="H134" t="inlineStr">
        <is>
          <t>AI垂直类</t>
        </is>
      </c>
      <c r="I134" t="inlineStr">
        <is>
          <t>T-IND-001</t>
        </is>
      </c>
      <c r="J134" t="inlineStr">
        <is>
          <t>行业</t>
        </is>
      </c>
      <c r="K134" t="n">
        <v>3</v>
      </c>
      <c r="L134" t="inlineStr">
        <is>
          <t>打造文娱产业新基建量子位的朋友们2026-09-2216:49:12来源：量子位9月22日</t>
        </is>
      </c>
      <c r="M134" t="inlineStr">
        <is>
          <t>在2026云栖大会「AI+文化传媒」技术发展论坛上</t>
        </is>
      </c>
      <c r="N134" t="inlineStr">
        <is>
          <t>虎鲸文娱集团推出行业首个AI影视制作与管理平台“鲸锐AI”9月22日</t>
        </is>
      </c>
      <c r="Q134" t="inlineStr">
        <is>
          <t>虎鲸文娱推出“鲸锐AI”影视制作与管理平台，打造文娱产业新基建–量子位首页资讯智能车智库活动MEET大会AIGC扫码关注量子位--&gt;虎鲸文娱推出“鲸锐AI”影视制作与管理平台，打造文娱产业新基建量子位的朋友们2026-0…</t>
        </is>
      </c>
      <c r="R134" t="inlineStr">
        <is>
          <t>自动抓取条目；下钻原文并人工核对归属公司与口径。</t>
        </is>
      </c>
      <c r="S134" t="inlineStr">
        <is>
          <t>全文已缓存</t>
        </is>
      </c>
      <c r="U134" t="inlineStr">
        <is>
          <t>自动爬取·待人工复核</t>
        </is>
      </c>
    </row>
    <row r="135">
      <c r="A135" t="inlineStr">
        <is>
          <t>INT-20260923-145</t>
        </is>
      </c>
      <c r="B135" t="inlineStr">
        <is>
          <t>2026-09-23</t>
        </is>
      </c>
      <c r="C135" t="inlineStr">
        <is>
          <t>2026-09-23</t>
        </is>
      </c>
      <c r="D135" t="inlineStr">
        <is>
          <t>SRC002</t>
        </is>
      </c>
      <c r="E135" t="inlineStr">
        <is>
          <t>量子位</t>
        </is>
      </c>
      <c r="F135" t="inlineStr">
        <is>
          <t>阿里巴巴：机器智能时代，坚定投入AI模型 AI芯片 AI云三大基石 – 量子位</t>
        </is>
      </c>
      <c r="G135" t="inlineStr">
        <is>
          <t>https://www.qbitai.com/2026/09/493502.html</t>
        </is>
      </c>
      <c r="H135" t="inlineStr">
        <is>
          <t>AI垂直类</t>
        </is>
      </c>
      <c r="I135" t="inlineStr">
        <is>
          <t>T-IND-001</t>
        </is>
      </c>
      <c r="J135" t="inlineStr">
        <is>
          <t>行业</t>
        </is>
      </c>
      <c r="K135" t="n">
        <v>4</v>
      </c>
      <c r="L135" t="inlineStr">
        <is>
          <t>坚定投入AI模型AI芯片AI云三大基石量子位的朋友们2026-09-2210:59:29来源：量子位</t>
        </is>
      </c>
      <c r="M135" t="inlineStr">
        <is>
          <t>在2026杭州云栖大会上</t>
        </is>
      </c>
      <c r="N135" t="inlineStr">
        <is>
          <t>未来机器思考总量将是人类的1000倍，而今天这一比例不到3%</t>
        </is>
      </c>
      <c r="Q135" t="inlineStr">
        <is>
          <t>阿里巴巴：机器智能时代，坚定投入AI模型AI芯片AI云三大基石–量子位首页资讯智能车智库活动MEET大会AIGC扫码关注量子位--&gt;阿里巴巴：机器智能时代，坚定投入AI模型AI芯片AI云三大基石量子位的朋友们2026-0…</t>
        </is>
      </c>
      <c r="R135" t="inlineStr">
        <is>
          <t>自动抓取条目；下钻原文并人工核对归属公司与口径。</t>
        </is>
      </c>
      <c r="S135" t="inlineStr">
        <is>
          <t>全文已缓存</t>
        </is>
      </c>
      <c r="U135" t="inlineStr">
        <is>
          <t>自动爬取·待人工复核</t>
        </is>
      </c>
    </row>
    <row r="136">
      <c r="A136" t="inlineStr">
        <is>
          <t>INT-20260923-146</t>
        </is>
      </c>
      <c r="B136" t="inlineStr">
        <is>
          <t>1790089027</t>
        </is>
      </c>
      <c r="C136" t="inlineStr">
        <is>
          <t>2026-09-23</t>
        </is>
      </c>
      <c r="D136" t="inlineStr">
        <is>
          <t>SRC001</t>
        </is>
      </c>
      <c r="E136" t="inlineStr">
        <is>
          <t>Deeptech深科技</t>
        </is>
      </c>
      <c r="F136" t="inlineStr">
        <is>
          <t>Meta 再次上桌！个人AI产品爆红，扎克伯格身价直涨2000亿</t>
        </is>
      </c>
      <c r="G136" t="inlineStr">
        <is>
          <t>https://www.mittrchina.com/news/detail/17000</t>
        </is>
      </c>
      <c r="H136" t="inlineStr">
        <is>
          <t>AI垂直类</t>
        </is>
      </c>
      <c r="I136" t="inlineStr">
        <is>
          <t>T-IND-001</t>
        </is>
      </c>
      <c r="J136" t="inlineStr">
        <is>
          <t>行业</t>
        </is>
      </c>
      <c r="K136" t="n">
        <v>4</v>
      </c>
      <c r="L136" t="inlineStr">
        <is>
          <t>要点待人工补充</t>
        </is>
      </c>
      <c r="Q136" t="inlineStr">
        <is>
          <t>上线不到两周，Meta的个人AI助手Muse已经登上美国iOS应用商店免费榜榜首。…</t>
        </is>
      </c>
      <c r="R136" t="inlineStr">
        <is>
          <t>自动抓取条目；下钻原文并人工核对归属公司与口径。</t>
        </is>
      </c>
      <c r="S136" t="inlineStr">
        <is>
          <t>全文已缓存</t>
        </is>
      </c>
      <c r="U136" t="inlineStr">
        <is>
          <t>自动爬取·待人工复核</t>
        </is>
      </c>
    </row>
    <row r="137">
      <c r="A137" t="inlineStr">
        <is>
          <t>INT-20260923-147</t>
        </is>
      </c>
      <c r="B137" t="inlineStr">
        <is>
          <t>1790075875</t>
        </is>
      </c>
      <c r="C137" t="inlineStr">
        <is>
          <t>2026-09-23</t>
        </is>
      </c>
      <c r="D137" t="inlineStr">
        <is>
          <t>SRC001</t>
        </is>
      </c>
      <c r="E137" t="inlineStr">
        <is>
          <t>Deeptech深科技</t>
        </is>
      </c>
      <c r="F137" t="inlineStr">
        <is>
          <t>AI会不会毁灭人类？答案可能比想象中更复杂</t>
        </is>
      </c>
      <c r="G137" t="inlineStr">
        <is>
          <t>https://www.mittrchina.com/news/detail/16997</t>
        </is>
      </c>
      <c r="H137" t="inlineStr">
        <is>
          <t>AI垂直类</t>
        </is>
      </c>
      <c r="I137" t="inlineStr">
        <is>
          <t>T-IND-001</t>
        </is>
      </c>
      <c r="J137" t="inlineStr">
        <is>
          <t>行业</t>
        </is>
      </c>
      <c r="K137" t="n">
        <v>3</v>
      </c>
      <c r="L137" t="inlineStr">
        <is>
          <t>聊了一个最近被反复提起的问题：AI真的可能杀死所有人吗？但30分钟显然不够</t>
        </is>
      </c>
      <c r="Q137" t="inlineStr">
        <is>
          <t>上周三，《麻省理工科技评论》为订阅用户举办了一场线上圆桌讨论，聊了一个最近被反复提起的问题：AI真的可能杀死所有人吗？但30分钟显然不够，现场还有很多问题没来得及回答。于是，我们请编辑威尔·道格拉斯·海文（WillDou…</t>
        </is>
      </c>
      <c r="R137" t="inlineStr">
        <is>
          <t>自动抓取条目；下钻原文并人工核对归属公司与口径。</t>
        </is>
      </c>
      <c r="S137" t="inlineStr">
        <is>
          <t>全文已缓存</t>
        </is>
      </c>
      <c r="U137" t="inlineStr">
        <is>
          <t>自动爬取·待人工复核</t>
        </is>
      </c>
    </row>
    <row r="138">
      <c r="A138" t="inlineStr">
        <is>
          <t>INT-20260923-148</t>
        </is>
      </c>
      <c r="B138" t="inlineStr">
        <is>
          <t>1790061510</t>
        </is>
      </c>
      <c r="C138" t="inlineStr">
        <is>
          <t>2026-09-23</t>
        </is>
      </c>
      <c r="D138" t="inlineStr">
        <is>
          <t>SRC001</t>
        </is>
      </c>
      <c r="E138" t="inlineStr">
        <is>
          <t>Deeptech深科技</t>
        </is>
      </c>
      <c r="F138" t="inlineStr">
        <is>
          <t>2026 PAIR大会落幕，百余位学者专家共议下一代物理智能</t>
        </is>
      </c>
      <c r="G138" t="inlineStr">
        <is>
          <t>https://www.mittrchina.com/news/detail/16996</t>
        </is>
      </c>
      <c r="H138" t="inlineStr">
        <is>
          <t>AI垂直类</t>
        </is>
      </c>
      <c r="I138" t="inlineStr">
        <is>
          <t>T-IND-001</t>
        </is>
      </c>
      <c r="J138" t="inlineStr">
        <is>
          <t>行业</t>
        </is>
      </c>
      <c r="K138" t="n">
        <v>3</v>
      </c>
      <c r="L138" t="inlineStr">
        <is>
          <t>2026年9月21日下午</t>
        </is>
      </c>
      <c r="M138" t="inlineStr">
        <is>
          <t>为期两天的PAIRConference2026暨首届下一代物理智能前沿论坛在上海物理智</t>
        </is>
      </c>
      <c r="Q138" t="inlineStr">
        <is>
          <t>2026年9月21日下午，为期两天的PAIRConference2026暨首届下一代物理智能前沿论坛在上海物理智能与机器人研究院（PAIR）顺利落下帷幕。…</t>
        </is>
      </c>
      <c r="R138" t="inlineStr">
        <is>
          <t>自动抓取条目；下钻原文并人工核对归属公司与口径。</t>
        </is>
      </c>
      <c r="S138" t="inlineStr">
        <is>
          <t>全文已缓存</t>
        </is>
      </c>
      <c r="U138" t="inlineStr">
        <is>
          <t>自动爬取·待人工复核</t>
        </is>
      </c>
    </row>
    <row r="139">
      <c r="A139" t="inlineStr">
        <is>
          <t>INT-20260923-149</t>
        </is>
      </c>
      <c r="B139" t="inlineStr">
        <is>
          <t>1789980323</t>
        </is>
      </c>
      <c r="C139" t="inlineStr">
        <is>
          <t>2026-09-23</t>
        </is>
      </c>
      <c r="D139" t="inlineStr">
        <is>
          <t>SRC001</t>
        </is>
      </c>
      <c r="E139" t="inlineStr">
        <is>
          <t>Deeptech深科技</t>
        </is>
      </c>
      <c r="F139" t="inlineStr">
        <is>
          <t>AI越来越聪明，为什么还没真正进入生活？｜对话FUTURUS创始人徐俊峰</t>
        </is>
      </c>
      <c r="G139" t="inlineStr">
        <is>
          <t>https://www.mittrchina.com/news/detail/16990</t>
        </is>
      </c>
      <c r="H139" t="inlineStr">
        <is>
          <t>AI垂直类</t>
        </is>
      </c>
      <c r="I139" t="inlineStr">
        <is>
          <t>T-IND-001</t>
        </is>
      </c>
      <c r="J139" t="inlineStr">
        <is>
          <t>行业</t>
        </is>
      </c>
      <c r="K139" t="n">
        <v>3</v>
      </c>
      <c r="L139" t="inlineStr">
        <is>
          <t>要点待人工补充</t>
        </is>
      </c>
      <c r="Q139" t="inlineStr">
        <is>
          <t>一个做了近十年车载HUD的创业者，把早期的儿童桌面产品拿给自己的孩子体验，得到的回答却是：“我不用。”…</t>
        </is>
      </c>
      <c r="R139" t="inlineStr">
        <is>
          <t>自动抓取条目；下钻原文并人工核对归属公司与口径。</t>
        </is>
      </c>
      <c r="S139" t="inlineStr">
        <is>
          <t>全文已缓存</t>
        </is>
      </c>
      <c r="U139" t="inlineStr">
        <is>
          <t>自动爬取·待人工复核</t>
        </is>
      </c>
    </row>
    <row r="140">
      <c r="A140" t="inlineStr">
        <is>
          <t>INT-20260924-150</t>
        </is>
      </c>
      <c r="B140" t="inlineStr">
        <is>
          <t>2026-09-24</t>
        </is>
      </c>
      <c r="C140" t="inlineStr">
        <is>
          <t>2026-09-24</t>
        </is>
      </c>
      <c r="D140" t="inlineStr">
        <is>
          <t>SRC004</t>
        </is>
      </c>
      <c r="E140" t="inlineStr">
        <is>
          <t>虎嗅</t>
        </is>
      </c>
      <c r="F140" t="inlineStr">
        <is>
          <t>Agent 时代，企业也需要一套“Git”</t>
        </is>
      </c>
      <c r="G140" t="inlineStr">
        <is>
          <t>https://m.huxiu.com/article/4893643.html</t>
        </is>
      </c>
      <c r="H140" t="inlineStr">
        <is>
          <t>AI垂直类</t>
        </is>
      </c>
      <c r="I140" t="inlineStr">
        <is>
          <t>T-IND-001</t>
        </is>
      </c>
      <c r="J140" t="inlineStr">
        <is>
          <t>行业</t>
        </is>
      </c>
      <c r="K140" t="n">
        <v>3</v>
      </c>
      <c r="L140" t="inlineStr">
        <is>
          <t>企业也需要一套“Git”-虎嗅网2026-09-2408:26Agent时代</t>
        </is>
      </c>
      <c r="M140" t="inlineStr">
        <is>
          <t>企业也需要一套“Git”DaretoB2B速览本文来自微信公众号：DAREtoB</t>
        </is>
      </c>
      <c r="N140" t="inlineStr">
        <is>
          <t>我们厘清了权限天花板（Level2）与可信执行（形式化证据门禁）</t>
        </is>
      </c>
      <c r="Q140" t="inlineStr">
        <is>
          <t>Agent时代，企业也需要一套“Git”-虎嗅网2026-09-2408:26Agent时代，企业也需要一套“Git”DaretoB2B速览本文来自微信公众号：DAREtoB2B，作者：种IT的田作者注：在前两篇里，我们…</t>
        </is>
      </c>
      <c r="R140" t="inlineStr">
        <is>
          <t>自动抓取条目；下钻原文并人工核对归属公司与口径。</t>
        </is>
      </c>
      <c r="S140" t="inlineStr">
        <is>
          <t>全文已缓存</t>
        </is>
      </c>
      <c r="U140" t="inlineStr">
        <is>
          <t>自动爬取·待人工复核</t>
        </is>
      </c>
    </row>
    <row r="141">
      <c r="A141" t="inlineStr">
        <is>
          <t>INT-20260924-151</t>
        </is>
      </c>
      <c r="B141" t="inlineStr">
        <is>
          <t>2026-09-24</t>
        </is>
      </c>
      <c r="C141" t="inlineStr">
        <is>
          <t>2026-09-24</t>
        </is>
      </c>
      <c r="D141" t="inlineStr">
        <is>
          <t>SRC004</t>
        </is>
      </c>
      <c r="E141" t="inlineStr">
        <is>
          <t>虎嗅</t>
        </is>
      </c>
      <c r="F141" t="inlineStr">
        <is>
          <t>我需要 AIPDA，不需要另一个我</t>
        </is>
      </c>
      <c r="G141" t="inlineStr">
        <is>
          <t>https://m.huxiu.com/article/4893641.html</t>
        </is>
      </c>
      <c r="H141" t="inlineStr">
        <is>
          <t>AI垂直类</t>
        </is>
      </c>
      <c r="I141" t="inlineStr">
        <is>
          <t>T-IND-001</t>
        </is>
      </c>
      <c r="J141" t="inlineStr">
        <is>
          <t>行业</t>
        </is>
      </c>
      <c r="K141" t="n">
        <v>3</v>
      </c>
      <c r="L141" t="inlineStr">
        <is>
          <t>不需要另一个我-虎嗅网2026-09-2408:25我需要AIPDA</t>
        </is>
      </c>
      <c r="M141" t="inlineStr">
        <is>
          <t>不需要另一个我DaretoB2B速览本文来自微信公众号：DAREtoB</t>
        </is>
      </c>
      <c r="N141" t="inlineStr">
        <is>
          <t>更不需要它拥有8核Xeon算力去秀肌肉——事情交待给她</t>
        </is>
      </c>
      <c r="Q141" t="inlineStr">
        <is>
          <t>我需要AIPDA，不需要另一个我-虎嗅网2026-09-2408:25我需要AIPDA，不需要另一个我DaretoB2B速览本文来自微信公众号：DAREtoB2B，作者：种IT的田，原文标题：《我需要AIPDA，不需要另…</t>
        </is>
      </c>
      <c r="R141" t="inlineStr">
        <is>
          <t>自动抓取条目；下钻原文并人工核对归属公司与口径。</t>
        </is>
      </c>
      <c r="S141" t="inlineStr">
        <is>
          <t>全文已缓存</t>
        </is>
      </c>
      <c r="U141" t="inlineStr">
        <is>
          <t>自动爬取·待人工复核</t>
        </is>
      </c>
    </row>
    <row r="142">
      <c r="A142" t="inlineStr">
        <is>
          <t>INT-20260924-152</t>
        </is>
      </c>
      <c r="B142" t="inlineStr">
        <is>
          <t>2026-09-24</t>
        </is>
      </c>
      <c r="C142" t="inlineStr">
        <is>
          <t>2026-09-24</t>
        </is>
      </c>
      <c r="D142" t="inlineStr">
        <is>
          <t>SRC004</t>
        </is>
      </c>
      <c r="E142" t="inlineStr">
        <is>
          <t>虎嗅</t>
        </is>
      </c>
      <c r="F142" t="inlineStr">
        <is>
          <t>推理算力赛道分化：通用GPU与定制ASIC的路线博弈</t>
        </is>
      </c>
      <c r="G142" t="inlineStr">
        <is>
          <t>https://m.huxiu.com/article/4893639.html</t>
        </is>
      </c>
      <c r="H142" t="inlineStr">
        <is>
          <t>AI垂直类</t>
        </is>
      </c>
      <c r="I142" t="inlineStr">
        <is>
          <t>T-CAPEX-001</t>
        </is>
      </c>
      <c r="J142" t="inlineStr">
        <is>
          <t>行业</t>
        </is>
      </c>
      <c r="K142" t="n">
        <v>3</v>
      </c>
      <c r="L142" t="inlineStr">
        <is>
          <t>推理算力赛道分化：通用GPU与定制ASIC的路线博弈-虎嗅网2026-09-2408:11推理算力赛道分化：</t>
        </is>
      </c>
      <c r="Q142" t="inlineStr">
        <is>
          <t>推理算力赛道分化：通用GPU与定制ASIC的路线博弈-虎嗅网2026-09-2408:11推理算力赛道分化：通用GPU与定制ASIC的路线博弈TechSugar©速览本文来自微信公众号：TechSugar，作者：谈芯AI…</t>
        </is>
      </c>
      <c r="R142" t="inlineStr">
        <is>
          <t>自动抓取条目；下钻原文并人工核对归属公司与口径。</t>
        </is>
      </c>
      <c r="S142" t="inlineStr">
        <is>
          <t>全文已缓存</t>
        </is>
      </c>
      <c r="U142" t="inlineStr">
        <is>
          <t>自动爬取·待人工复核</t>
        </is>
      </c>
    </row>
    <row r="143">
      <c r="A143" t="inlineStr">
        <is>
          <t>INT-20260924-153</t>
        </is>
      </c>
      <c r="B143" t="inlineStr">
        <is>
          <t>2026-09-24</t>
        </is>
      </c>
      <c r="C143" t="inlineStr">
        <is>
          <t>2026-09-24</t>
        </is>
      </c>
      <c r="D143" t="inlineStr">
        <is>
          <t>SRC004</t>
        </is>
      </c>
      <c r="E143" t="inlineStr">
        <is>
          <t>虎嗅</t>
        </is>
      </c>
      <c r="F143" t="inlineStr">
        <is>
          <t>AI=新全球化？黑箱、宿命感与民粹性</t>
        </is>
      </c>
      <c r="G143" t="inlineStr">
        <is>
          <t>https://m.huxiu.com/article/4893636.html</t>
        </is>
      </c>
      <c r="H143" t="inlineStr">
        <is>
          <t>AI垂直类</t>
        </is>
      </c>
      <c r="I143" t="inlineStr">
        <is>
          <t>T-IND-001</t>
        </is>
      </c>
      <c r="J143" t="inlineStr">
        <is>
          <t>行业</t>
        </is>
      </c>
      <c r="K143" t="n">
        <v>3</v>
      </c>
      <c r="L143" t="inlineStr">
        <is>
          <t>宿命感与民粹性-虎嗅网2026-09-2408:07AI=新全球化？黑箱</t>
        </is>
      </c>
      <c r="M143" t="inlineStr">
        <is>
          <t>自2022年底ChatGPT推出以来</t>
        </is>
      </c>
      <c r="Q143" t="inlineStr">
        <is>
          <t>AI=新全球化？黑箱、宿命感与民粹性-虎嗅网2026-09-2408:07AI=新全球化？黑箱、宿命感与民粹性潜望工作室©速览本文来自微信公众号：数字经济发展评论，作者：数字经济发展评论导语AI风险最近被推上头条，但更值…</t>
        </is>
      </c>
      <c r="R143" t="inlineStr">
        <is>
          <t>自动抓取条目；下钻原文并人工核对归属公司与口径。</t>
        </is>
      </c>
      <c r="S143" t="inlineStr">
        <is>
          <t>全文已缓存</t>
        </is>
      </c>
      <c r="U143" t="inlineStr">
        <is>
          <t>自动爬取·待人工复核</t>
        </is>
      </c>
    </row>
    <row r="144">
      <c r="A144" t="inlineStr">
        <is>
          <t>INT-20260924-154</t>
        </is>
      </c>
      <c r="B144" t="inlineStr">
        <is>
          <t>2026-09-24</t>
        </is>
      </c>
      <c r="C144" t="inlineStr">
        <is>
          <t>2026-09-24</t>
        </is>
      </c>
      <c r="D144" t="inlineStr">
        <is>
          <t>SRC002</t>
        </is>
      </c>
      <c r="E144" t="inlineStr">
        <is>
          <t>量子位</t>
        </is>
      </c>
      <c r="F144" t="inlineStr">
        <is>
          <t>GPT-6 Astra搓3D刷屏后，3D生成的竞争规则变了 – 量子位</t>
        </is>
      </c>
      <c r="G144" t="inlineStr">
        <is>
          <t>https://www.qbitai.com/2026/09/496170.html</t>
        </is>
      </c>
      <c r="H144" t="inlineStr">
        <is>
          <t>AI垂直类</t>
        </is>
      </c>
      <c r="I144" t="inlineStr">
        <is>
          <t>T-IND-001</t>
        </is>
      </c>
      <c r="J144" t="inlineStr">
        <is>
          <t>行业</t>
        </is>
      </c>
      <c r="K144" t="n">
        <v>3</v>
      </c>
      <c r="L144" t="inlineStr">
        <is>
          <t>GPT-6Astra搓3D刷屏后</t>
        </is>
      </c>
      <c r="M144" t="inlineStr">
        <is>
          <t>3D生成的竞争规则变了–量子位首页资讯智能</t>
        </is>
      </c>
      <c r="N144" t="inlineStr">
        <is>
          <t>车智库活动MEET大会AIGC扫码关注量子位--&gt;GPT-6Astra搓3D刷屏后</t>
        </is>
      </c>
      <c r="Q144" t="inlineStr">
        <is>
          <t>GPT-6Astra搓3D刷屏后，3D生成的竞争规则变了–量子位首页资讯智能车智库活动MEET大会AIGC扫码关注量子位--&gt;GPT-6Astra搓3D刷屏后，3D生成的竞争规则变了听雨2026-09-2313:01:2…</t>
        </is>
      </c>
      <c r="R144" t="inlineStr">
        <is>
          <t>自动抓取条目；下钻原文并人工核对归属公司与口径。</t>
        </is>
      </c>
      <c r="S144" t="inlineStr">
        <is>
          <t>全文已缓存</t>
        </is>
      </c>
      <c r="U144" t="inlineStr">
        <is>
          <t>自动爬取·待人工复核</t>
        </is>
      </c>
    </row>
    <row r="145">
      <c r="A145" t="inlineStr">
        <is>
          <t>INT-20260924-155</t>
        </is>
      </c>
      <c r="B145" t="inlineStr">
        <is>
          <t>2026-09-24</t>
        </is>
      </c>
      <c r="C145" t="inlineStr">
        <is>
          <t>2026-09-24</t>
        </is>
      </c>
      <c r="D145" t="inlineStr">
        <is>
          <t>SRC002</t>
        </is>
      </c>
      <c r="E145" t="inlineStr">
        <is>
          <t>量子位</t>
        </is>
      </c>
      <c r="F145" t="inlineStr">
        <is>
          <t>联想亮相阿里云栖大会：联想天禧AI把超级组织落地到端侧 – 量子位</t>
        </is>
      </c>
      <c r="G145" t="inlineStr">
        <is>
          <t>https://www.qbitai.com/2026/09/496609.html</t>
        </is>
      </c>
      <c r="H145" t="inlineStr">
        <is>
          <t>AI垂直类</t>
        </is>
      </c>
      <c r="I145" t="inlineStr">
        <is>
          <t>T-IND-001</t>
        </is>
      </c>
      <c r="J145" t="inlineStr">
        <is>
          <t>行业</t>
        </is>
      </c>
      <c r="K145" t="n">
        <v>4</v>
      </c>
      <c r="L145" t="inlineStr">
        <is>
          <t>阿里云栖大会：联想天禧AI把超级组织落地到端侧量子位的朋友们2026-09-2318:35:16来源：量子位</t>
        </is>
      </c>
      <c r="M145" t="inlineStr">
        <is>
          <t>联想天禧AI携全场景多端产品矩阵亮相阿里云栖大会9月22日至24日</t>
        </is>
      </c>
      <c r="N145" t="inlineStr">
        <is>
          <t>2026云栖大会在杭州国际博览中心举行</t>
        </is>
      </c>
      <c r="Q145" t="inlineStr">
        <is>
          <t>联想亮相阿里云栖大会：联想天禧AI把超级组织落地到端侧–量子位首页资讯智能车智库活动MEET大会AIGC扫码关注量子位--&gt;联想亮相阿里云栖大会：联想天禧AI把超级组织落地到端侧量子位的朋友们2026-09-2318:3…</t>
        </is>
      </c>
      <c r="R145" t="inlineStr">
        <is>
          <t>自动抓取条目；下钻原文并人工核对归属公司与口径。</t>
        </is>
      </c>
      <c r="S145" t="inlineStr">
        <is>
          <t>全文已缓存</t>
        </is>
      </c>
      <c r="U145" t="inlineStr">
        <is>
          <t>自动爬取·待人工复核</t>
        </is>
      </c>
    </row>
    <row r="146">
      <c r="A146" t="inlineStr">
        <is>
          <t>INT-20260924-156</t>
        </is>
      </c>
      <c r="B146" t="inlineStr">
        <is>
          <t>2026-09-24</t>
        </is>
      </c>
      <c r="C146" t="inlineStr">
        <is>
          <t>2026-09-24</t>
        </is>
      </c>
      <c r="D146" t="inlineStr">
        <is>
          <t>SRC002</t>
        </is>
      </c>
      <c r="E146" t="inlineStr">
        <is>
          <t>量子位</t>
        </is>
      </c>
      <c r="F146" t="inlineStr">
        <is>
          <t>汇智智能发布Hellome：国内首个FDE直连智能体服务平台，把AI交付周期压进“周” – 量子位</t>
        </is>
      </c>
      <c r="G146" t="inlineStr">
        <is>
          <t>https://www.qbitai.com/2026/09/496493.html</t>
        </is>
      </c>
      <c r="H146" t="inlineStr">
        <is>
          <t>AI垂直类</t>
        </is>
      </c>
      <c r="I146" t="inlineStr">
        <is>
          <t>T-IND-001</t>
        </is>
      </c>
      <c r="J146" t="inlineStr">
        <is>
          <t>行业</t>
        </is>
      </c>
      <c r="K146" t="n">
        <v>3</v>
      </c>
      <c r="L146" t="inlineStr">
        <is>
          <t>把AI交付周期压进“周”量子位的朋友们2026-09-2317:50:26来源：量子位企业AI服务迎来</t>
        </is>
      </c>
      <c r="Q146" t="inlineStr">
        <is>
          <t>汇智智能发布Hellome：国内首个FDE直连智能体服务平台，把AI交付周期压进“周”–量子位首页资讯智能车智库活动MEET大会AIGC扫码关注量子位--&gt;汇智智能发布Hellome：国内首个FDE直连智能体服务平台，把…</t>
        </is>
      </c>
      <c r="R146" t="inlineStr">
        <is>
          <t>自动抓取条目；下钻原文并人工核对归属公司与口径。</t>
        </is>
      </c>
      <c r="S146" t="inlineStr">
        <is>
          <t>全文已缓存</t>
        </is>
      </c>
      <c r="U146" t="inlineStr">
        <is>
          <t>自动爬取·待人工复核</t>
        </is>
      </c>
    </row>
    <row r="147">
      <c r="A147" t="inlineStr">
        <is>
          <t>INT-20260924-157</t>
        </is>
      </c>
      <c r="B147" t="inlineStr">
        <is>
          <t>2026-09-24</t>
        </is>
      </c>
      <c r="C147" t="inlineStr">
        <is>
          <t>2026-09-24</t>
        </is>
      </c>
      <c r="D147" t="inlineStr">
        <is>
          <t>SRC002</t>
        </is>
      </c>
      <c r="E147" t="inlineStr">
        <is>
          <t>量子位</t>
        </is>
      </c>
      <c r="F147" t="inlineStr">
        <is>
          <t>斑马智能发布端模型AutoOmni2.0，让元神AI更懂“我的世界” – 量子位</t>
        </is>
      </c>
      <c r="G147" t="inlineStr">
        <is>
          <t>https://www.qbitai.com/2026/09/496471.html</t>
        </is>
      </c>
      <c r="H147" t="inlineStr">
        <is>
          <t>AI垂直类</t>
        </is>
      </c>
      <c r="I147" t="inlineStr">
        <is>
          <t>T-IND-001</t>
        </is>
      </c>
      <c r="J147" t="inlineStr">
        <is>
          <t>行业</t>
        </is>
      </c>
      <c r="K147" t="n">
        <v>3</v>
      </c>
      <c r="L147" t="inlineStr">
        <is>
          <t>斑马智能发布端模型AutoOmni2.0，让元神AI更懂“我的世界”–量子位首页资</t>
        </is>
      </c>
      <c r="M147" t="inlineStr">
        <is>
          <t>IGC扫码关注量子位--&gt;斑马智能发布端模型AutoOmni2.0，让元神AI更懂“我的世界”量子位的朋友们</t>
        </is>
      </c>
      <c r="N147" t="inlineStr">
        <is>
          <t>2026-09-2316:45:22来源：量子位9月23日云栖大会期间</t>
        </is>
      </c>
      <c r="Q147" t="inlineStr">
        <is>
          <t>斑马智能发布端模型AutoOmni2.0，让元神AI更懂“我的世界”–量子位首页资讯智能车智库活动MEET大会AIGC扫码关注量子位--&gt;斑马智能发布端模型AutoOmni2.0，让元神AI更懂“我的世界”量子位的朋友们…</t>
        </is>
      </c>
      <c r="R147" t="inlineStr">
        <is>
          <t>自动抓取条目；下钻原文并人工核对归属公司与口径。</t>
        </is>
      </c>
      <c r="S147" t="inlineStr">
        <is>
          <t>全文已缓存</t>
        </is>
      </c>
      <c r="U147" t="inlineStr">
        <is>
          <t>自动爬取·待人工复核</t>
        </is>
      </c>
    </row>
    <row r="148">
      <c r="A148" t="inlineStr">
        <is>
          <t>INT-20260924-158</t>
        </is>
      </c>
      <c r="B148" t="inlineStr">
        <is>
          <t>2026-09-24</t>
        </is>
      </c>
      <c r="C148" t="inlineStr">
        <is>
          <t>2026-09-24</t>
        </is>
      </c>
      <c r="D148" t="inlineStr">
        <is>
          <t>SRC002</t>
        </is>
      </c>
      <c r="E148" t="inlineStr">
        <is>
          <t>量子位</t>
        </is>
      </c>
      <c r="F148" t="inlineStr">
        <is>
          <t>DeepSeek新论文公开Agent训练！梁文锋署名 – 量子位</t>
        </is>
      </c>
      <c r="G148" t="inlineStr">
        <is>
          <t>https://www.qbitai.com/2026/09/496393.html</t>
        </is>
      </c>
      <c r="H148" t="inlineStr">
        <is>
          <t>AI垂直类</t>
        </is>
      </c>
      <c r="I148" t="inlineStr">
        <is>
          <t>T-IND-001</t>
        </is>
      </c>
      <c r="J148" t="inlineStr">
        <is>
          <t>行业</t>
        </is>
      </c>
      <c r="K148" t="n">
        <v>3</v>
      </c>
      <c r="L148" t="inlineStr">
        <is>
          <t>&gt;DeepSeek新论文公开Agent训练！梁文锋署名克雷西2026-09-2315:29:50来源：量子位</t>
        </is>
      </c>
      <c r="M148" t="inlineStr">
        <is>
          <t>每秒能产生5000+个沙盒克雷西发自凹非寺量子位|公众号Q</t>
        </is>
      </c>
      <c r="N148" t="inlineStr">
        <is>
          <t>它每秒能产生5000+个沙盒</t>
        </is>
      </c>
      <c r="Q148" t="inlineStr">
        <is>
          <t>DeepSeek新论文公开Agent训练！梁文锋署名–量子位首页资讯智能车智库活动MEET大会AIGC扫码关注量子位--&gt;DeepSeek新论文公开Agent训练！梁文锋署名克雷西2026-09-2315:29:50来源…</t>
        </is>
      </c>
      <c r="R148" t="inlineStr">
        <is>
          <t>自动抓取条目；下钻原文并人工核对归属公司与口径。</t>
        </is>
      </c>
      <c r="S148" t="inlineStr">
        <is>
          <t>全文已缓存</t>
        </is>
      </c>
      <c r="U148" t="inlineStr">
        <is>
          <t>自动爬取·待人工复核</t>
        </is>
      </c>
    </row>
    <row r="149">
      <c r="A149" t="inlineStr">
        <is>
          <t>INT-20260924-159</t>
        </is>
      </c>
      <c r="B149" t="inlineStr">
        <is>
          <t>2026-09-24</t>
        </is>
      </c>
      <c r="C149" t="inlineStr">
        <is>
          <t>2026-09-24</t>
        </is>
      </c>
      <c r="D149" t="inlineStr">
        <is>
          <t>SRC002</t>
        </is>
      </c>
      <c r="E149" t="inlineStr">
        <is>
          <t>量子位</t>
        </is>
      </c>
      <c r="F149" t="inlineStr">
        <is>
          <t>Jev vs Decitron：同为决策AI，为什么不是一回事？ – 量子位</t>
        </is>
      </c>
      <c r="G149" t="inlineStr">
        <is>
          <t>https://www.qbitai.com/2026/09/496352.html</t>
        </is>
      </c>
      <c r="H149" t="inlineStr">
        <is>
          <t>AI垂直类</t>
        </is>
      </c>
      <c r="I149" t="inlineStr">
        <is>
          <t>T-IND-001</t>
        </is>
      </c>
      <c r="J149" t="inlineStr">
        <is>
          <t>行业</t>
        </is>
      </c>
      <c r="K149" t="n">
        <v>3</v>
      </c>
      <c r="L149" t="inlineStr">
        <is>
          <t>为什么不是一回事？思邈2026-09-2314:38:07来源：量子位对复杂现实进行推演与决策允中</t>
        </is>
      </c>
      <c r="Q149" t="inlineStr">
        <is>
          <t>JevvsDecitron：同为决策AI，为什么不是一回事？–量子位首页资讯智能车智库活动MEET大会AIGC扫码关注量子位--&gt;JevvsDecitron：同为决策AI，为什么不是一回事？思邈2026-09-2314:…</t>
        </is>
      </c>
      <c r="R149" t="inlineStr">
        <is>
          <t>自动抓取条目；下钻原文并人工核对归属公司与口径。</t>
        </is>
      </c>
      <c r="S149" t="inlineStr">
        <is>
          <t>全文已缓存</t>
        </is>
      </c>
      <c r="U149" t="inlineStr">
        <is>
          <t>自动爬取·待人工复核</t>
        </is>
      </c>
    </row>
    <row r="150">
      <c r="A150" t="inlineStr">
        <is>
          <t>INT-20260924-160</t>
        </is>
      </c>
      <c r="B150" t="inlineStr">
        <is>
          <t>2026-09-24</t>
        </is>
      </c>
      <c r="C150" t="inlineStr">
        <is>
          <t>2026-09-24</t>
        </is>
      </c>
      <c r="D150" t="inlineStr">
        <is>
          <t>SRC002</t>
        </is>
      </c>
      <c r="E150" t="inlineStr">
        <is>
          <t>量子位</t>
        </is>
      </c>
      <c r="F150" t="inlineStr">
        <is>
          <t>阿里千问AI平台全面升级模型服务、Agent服务、AI应用 – 量子位</t>
        </is>
      </c>
      <c r="G150" t="inlineStr">
        <is>
          <t>https://www.qbitai.com/2026/09/496301.html</t>
        </is>
      </c>
      <c r="H150" t="inlineStr">
        <is>
          <t>AI垂直类</t>
        </is>
      </c>
      <c r="I150" t="inlineStr">
        <is>
          <t>T-IND-001</t>
        </is>
      </c>
      <c r="J150" t="inlineStr">
        <is>
          <t>行业</t>
        </is>
      </c>
      <c r="K150" t="n">
        <v>4</v>
      </c>
      <c r="L150" t="inlineStr">
        <is>
          <t>AI应用梦晨2026-09-2313:13:19来源：量子位覆盖MaaS</t>
        </is>
      </c>
      <c r="M150" t="inlineStr">
        <is>
          <t>行业AI解决方案允中发自凹非寺量子位|公众号QbitAI9月22日</t>
        </is>
      </c>
      <c r="N150" t="inlineStr">
        <is>
          <t>在2026云栖大会MaaS&amp;Agent技术主论坛上</t>
        </is>
      </c>
      <c r="Q150" t="inlineStr">
        <is>
          <t>阿里千问AI平台全面升级模型服务、Agent服务、AI应用–量子位首页资讯智能车智库活动MEET大会AIGC扫码关注量子位--&gt;阿里千问AI平台全面升级模型服务、Agent服务、AI应用梦晨2026-09-2313:13…</t>
        </is>
      </c>
      <c r="R150" t="inlineStr">
        <is>
          <t>自动抓取条目；下钻原文并人工核对归属公司与口径。</t>
        </is>
      </c>
      <c r="S150" t="inlineStr">
        <is>
          <t>全文已缓存</t>
        </is>
      </c>
      <c r="U150" t="inlineStr">
        <is>
          <t>自动爬取·待人工复核</t>
        </is>
      </c>
    </row>
    <row r="151">
      <c r="A151" t="inlineStr">
        <is>
          <t>INT-20260924-161</t>
        </is>
      </c>
      <c r="B151" t="inlineStr">
        <is>
          <t>2026-09-24</t>
        </is>
      </c>
      <c r="C151" t="inlineStr">
        <is>
          <t>2026-09-24</t>
        </is>
      </c>
      <c r="D151" t="inlineStr">
        <is>
          <t>SRC002</t>
        </is>
      </c>
      <c r="E151" t="inlineStr">
        <is>
          <t>量子位</t>
        </is>
      </c>
      <c r="F151" t="inlineStr">
        <is>
          <t>Claude Opus 5.5突袭！68万行代码一天迁完，API价格打8折 – 量子位</t>
        </is>
      </c>
      <c r="G151" t="inlineStr">
        <is>
          <t>https://www.qbitai.com/2026/09/496221.html</t>
        </is>
      </c>
      <c r="H151" t="inlineStr">
        <is>
          <t>AI垂直类</t>
        </is>
      </c>
      <c r="I151" t="inlineStr">
        <is>
          <t>T-IND-001</t>
        </is>
      </c>
      <c r="J151" t="inlineStr">
        <is>
          <t>行业</t>
        </is>
      </c>
      <c r="K151" t="n">
        <v>3</v>
      </c>
      <c r="L151" t="inlineStr">
        <is>
          <t>ClaudeOpus5.5突袭！68万行代码一天迁完</t>
        </is>
      </c>
      <c r="M151" t="inlineStr">
        <is>
          <t>API价格打8折–量子位首页资讯智能车智库活动MEET</t>
        </is>
      </c>
      <c r="N151" t="inlineStr">
        <is>
          <t>大会AIGC扫码关注量子位--&gt;ClaudeOpus5.5突袭！68万行代码一天迁完</t>
        </is>
      </c>
      <c r="Q151" t="inlineStr">
        <is>
          <t>ClaudeOpus5.5突袭！68万行代码一天迁完，API价格打8折–量子位首页资讯智能车智库活动MEET大会AIGC扫码关注量子位--&gt;ClaudeOpus5.5突袭！68万行代码一天迁完，API价格打8折听雨202…</t>
        </is>
      </c>
      <c r="R151" t="inlineStr">
        <is>
          <t>自动抓取条目；下钻原文并人工核对归属公司与口径。</t>
        </is>
      </c>
      <c r="S151" t="inlineStr">
        <is>
          <t>全文已缓存</t>
        </is>
      </c>
      <c r="U151" t="inlineStr">
        <is>
          <t>自动爬取·待人工复核</t>
        </is>
      </c>
    </row>
    <row r="152">
      <c r="A152" t="inlineStr">
        <is>
          <t>INT-20260924-162</t>
        </is>
      </c>
      <c r="B152" t="inlineStr">
        <is>
          <t>1790161125</t>
        </is>
      </c>
      <c r="C152" t="inlineStr">
        <is>
          <t>2026-09-24</t>
        </is>
      </c>
      <c r="D152" t="inlineStr">
        <is>
          <t>SRC001</t>
        </is>
      </c>
      <c r="E152" t="inlineStr">
        <is>
          <t>Deeptech深科技</t>
        </is>
      </c>
      <c r="F152" t="inlineStr">
        <is>
          <t>一块芯片掰了3000次还能用，MIT造出透明的光子芯片</t>
        </is>
      </c>
      <c r="G152" t="inlineStr">
        <is>
          <t>https://www.mittrchina.com/news/detail/17003</t>
        </is>
      </c>
      <c r="H152" t="inlineStr">
        <is>
          <t>AI垂直类</t>
        </is>
      </c>
      <c r="I152" t="inlineStr">
        <is>
          <t>T-IND-001</t>
        </is>
      </c>
      <c r="J152" t="inlineStr">
        <is>
          <t>行业</t>
        </is>
      </c>
      <c r="K152" t="n">
        <v>3</v>
      </c>
      <c r="L152" t="inlineStr">
        <is>
          <t>掰了3,000次都没有坏</t>
        </is>
      </c>
      <c r="M152" t="inlineStr">
        <is>
          <t>这是一款在300毫米标准晶圆上造出来的硅光子芯片</t>
        </is>
      </c>
      <c r="Q152" t="inlineStr">
        <is>
          <t>美国麻省理工学院（MIT）团队和合作者打造了一块芯片，掰了3,000次都没有坏，依然还能正常工作。当掰到牙签粗细的直径之时，它的性能才开始出现衰减。这是一款在300毫米标准晶圆上造出来的硅光子芯片，相关论文由MIT和NY…</t>
        </is>
      </c>
      <c r="R152" t="inlineStr">
        <is>
          <t>自动抓取条目；下钻原文并人工核对归属公司与口径。</t>
        </is>
      </c>
      <c r="S152" t="inlineStr">
        <is>
          <t>全文已缓存</t>
        </is>
      </c>
      <c r="U152" t="inlineStr">
        <is>
          <t>自动爬取·待人工复核</t>
        </is>
      </c>
    </row>
    <row r="153">
      <c r="A153" t="inlineStr">
        <is>
          <t>INT-20260924-163</t>
        </is>
      </c>
      <c r="B153" t="inlineStr">
        <is>
          <t>1790128334</t>
        </is>
      </c>
      <c r="C153" t="inlineStr">
        <is>
          <t>2026-09-24</t>
        </is>
      </c>
      <c r="D153" t="inlineStr">
        <is>
          <t>SRC001</t>
        </is>
      </c>
      <c r="E153" t="inlineStr">
        <is>
          <t>Deeptech深科技</t>
        </is>
      </c>
      <c r="F153" t="inlineStr">
        <is>
          <t>斯坦福团队做了一家“AI药企”，3.7万个智能体一起做药</t>
        </is>
      </c>
      <c r="G153" t="inlineStr">
        <is>
          <t>https://www.mittrchina.com/news/detail/17002</t>
        </is>
      </c>
      <c r="H153" t="inlineStr">
        <is>
          <t>AI垂直类</t>
        </is>
      </c>
      <c r="I153" t="inlineStr">
        <is>
          <t>T-IND-001</t>
        </is>
      </c>
      <c r="J153" t="inlineStr">
        <is>
          <t>行业</t>
        </is>
      </c>
      <c r="K153" t="n">
        <v>3</v>
      </c>
      <c r="L153" t="inlineStr">
        <is>
          <t>一家拥有3.7万名“员工”的生物技术公司</t>
        </is>
      </c>
      <c r="Q153" t="inlineStr">
        <is>
          <t>一家拥有3.7万名“员工”的生物技术公司，不需要办公室，也没有实验室，员工也不用休息。因为它的所有员工都是AI。…</t>
        </is>
      </c>
      <c r="R153" t="inlineStr">
        <is>
          <t>自动抓取条目；下钻原文并人工核对归属公司与口径。</t>
        </is>
      </c>
      <c r="S153" t="inlineStr">
        <is>
          <t>全文已缓存</t>
        </is>
      </c>
      <c r="U153" t="inlineStr">
        <is>
          <t>自动爬取·待人工复核</t>
        </is>
      </c>
    </row>
    <row r="154">
      <c r="A154" t="inlineStr">
        <is>
          <t>INT-20260924-164</t>
        </is>
      </c>
      <c r="B154" t="inlineStr">
        <is>
          <t>1790127978</t>
        </is>
      </c>
      <c r="C154" t="inlineStr">
        <is>
          <t>2026-09-24</t>
        </is>
      </c>
      <c r="D154" t="inlineStr">
        <is>
          <t>SRC001</t>
        </is>
      </c>
      <c r="E154" t="inlineStr">
        <is>
          <t>Deeptech深科技</t>
        </is>
      </c>
      <c r="F154" t="inlineStr">
        <is>
          <t>Anthropic、OpenAI同夜上新：Opus 5.5多项性能超过Astra，GPT-6 Sol赢在价格</t>
        </is>
      </c>
      <c r="G154" t="inlineStr">
        <is>
          <t>https://www.mittrchina.com/news/detail/17001</t>
        </is>
      </c>
      <c r="H154" t="inlineStr">
        <is>
          <t>AI垂直类</t>
        </is>
      </c>
      <c r="I154" t="inlineStr">
        <is>
          <t>T-IND-001</t>
        </is>
      </c>
      <c r="J154" t="inlineStr">
        <is>
          <t>行业</t>
        </is>
      </c>
      <c r="K154" t="n">
        <v>4</v>
      </c>
      <c r="L154" t="inlineStr">
        <is>
          <t>北京时间9月23日凌晨</t>
        </is>
      </c>
      <c r="Q154" t="inlineStr">
        <is>
          <t>北京时间9月23日凌晨，不少Codex用户还守在X上刷新Tibo的主页。这位OpenAICodex负责人（ThibaultSottiaux）前一天发帖说，快到周二了，他答应过周二给大家重置额度，“但还有一些别的东西”。…</t>
        </is>
      </c>
      <c r="R154" t="inlineStr">
        <is>
          <t>自动抓取条目；下钻原文并人工核对归属公司与口径。</t>
        </is>
      </c>
      <c r="S154" t="inlineStr">
        <is>
          <t>全文已缓存</t>
        </is>
      </c>
      <c r="U154" t="inlineStr">
        <is>
          <t>自动爬取·待人工复核</t>
        </is>
      </c>
    </row>
    <row r="155">
      <c r="A155" t="inlineStr">
        <is>
          <t>INT-20260925-165</t>
        </is>
      </c>
      <c r="B155" t="inlineStr">
        <is>
          <t>2026-09-24</t>
        </is>
      </c>
      <c r="C155" t="inlineStr">
        <is>
          <t>2026-09-25</t>
        </is>
      </c>
      <c r="D155" t="inlineStr">
        <is>
          <t>SRC004</t>
        </is>
      </c>
      <c r="E155" t="inlineStr">
        <is>
          <t>虎嗅</t>
        </is>
      </c>
      <c r="F155" t="inlineStr">
        <is>
          <t>一天做出产品，正在成为AI创业者最昂贵的幻觉</t>
        </is>
      </c>
      <c r="G155" t="inlineStr">
        <is>
          <t>https://m.huxiu.com/article/4893886.html</t>
        </is>
      </c>
      <c r="H155" t="inlineStr">
        <is>
          <t>AI垂直类</t>
        </is>
      </c>
      <c r="I155" t="inlineStr">
        <is>
          <t>T-IND-001</t>
        </is>
      </c>
      <c r="J155" t="inlineStr">
        <is>
          <t>行业</t>
        </is>
      </c>
      <c r="K155" t="n">
        <v>3</v>
      </c>
      <c r="L155" t="inlineStr">
        <is>
          <t>正在成为AI创业者最昂贵的幻觉-虎嗅网2026-09-2423:40一天做出产品</t>
        </is>
      </c>
      <c r="M155" t="inlineStr">
        <is>
          <t>正在成为AI创业者最昂贵的幻觉|不懂经网站》2024年</t>
        </is>
      </c>
      <c r="N155" t="inlineStr">
        <is>
          <t>41岁的马修·加拉格尔坐在洛杉矶的家里</t>
        </is>
      </c>
      <c r="Q155" t="inlineStr">
        <is>
          <t>一天做出产品，正在成为AI创业者最昂贵的幻觉-虎嗅网2026-09-2423:40一天做出产品，正在成为AI创业者最昂贵的幻觉不懂经©速览本文来自微信公众号：不懂经，作者：经叔，原文标题：《一天做出产品，正在成为AI创业…</t>
        </is>
      </c>
      <c r="R155" t="inlineStr">
        <is>
          <t>自动抓取条目；下钻原文并人工核对归属公司与口径。</t>
        </is>
      </c>
      <c r="S155" t="inlineStr">
        <is>
          <t>全文已缓存</t>
        </is>
      </c>
      <c r="U155" t="inlineStr">
        <is>
          <t>自动爬取·待人工复核</t>
        </is>
      </c>
    </row>
    <row r="156">
      <c r="A156" t="inlineStr">
        <is>
          <t>INT-20260925-166</t>
        </is>
      </c>
      <c r="B156" t="inlineStr">
        <is>
          <t>2026-09-25</t>
        </is>
      </c>
      <c r="C156" t="inlineStr">
        <is>
          <t>2026-09-25</t>
        </is>
      </c>
      <c r="D156" t="inlineStr">
        <is>
          <t>SRC002</t>
        </is>
      </c>
      <c r="E156" t="inlineStr">
        <is>
          <t>量子位</t>
        </is>
      </c>
      <c r="F156" t="inlineStr">
        <is>
          <t>出海Agent“小元AI”入驻腾讯WorkBuddy：找买家写开发信谈生意 – 量子位</t>
        </is>
      </c>
      <c r="G156" t="inlineStr">
        <is>
          <t>https://www.qbitai.com/2026/09/496961.html</t>
        </is>
      </c>
      <c r="H156" t="inlineStr">
        <is>
          <t>AI垂直类</t>
        </is>
      </c>
      <c r="I156" t="inlineStr">
        <is>
          <t>T-IND-001</t>
        </is>
      </c>
      <c r="J156" t="inlineStr">
        <is>
          <t>行业</t>
        </is>
      </c>
      <c r="K156" t="n">
        <v>4</v>
      </c>
      <c r="L156" t="inlineStr">
        <is>
          <t>元AI”入驻腾讯WorkBuddy：找买家写开发信谈生意思邈2026-09-2422:20:14来源：量子位</t>
        </is>
      </c>
      <c r="M156" t="inlineStr">
        <is>
          <t>8月末字节跳动正式发布“豆包工作”</t>
        </is>
      </c>
      <c r="N156" t="inlineStr">
        <is>
          <t>阿里巴巴已于8月初整合QoderWork</t>
        </is>
      </c>
      <c r="Q156" t="inlineStr">
        <is>
          <t>出海Agent“小元AI”入驻腾讯WorkBuddy：找买家写开发信谈生意–量子位首页资讯智能车智库活动MEET大会AIGC扫码关注量子位--&gt;出海Agent“小元AI”入驻腾讯WorkBuddy：找买家写开发信谈生意思…</t>
        </is>
      </c>
      <c r="R156" t="inlineStr">
        <is>
          <t>自动抓取条目；下钻原文并人工核对归属公司与口径。</t>
        </is>
      </c>
      <c r="S156" t="inlineStr">
        <is>
          <t>全文已缓存</t>
        </is>
      </c>
      <c r="U156" t="inlineStr">
        <is>
          <t>自动爬取·待人工复核</t>
        </is>
      </c>
    </row>
    <row r="157">
      <c r="A157" t="inlineStr">
        <is>
          <t>INT-20260925-167</t>
        </is>
      </c>
      <c r="B157" t="inlineStr">
        <is>
          <t>2026-09-25</t>
        </is>
      </c>
      <c r="C157" t="inlineStr">
        <is>
          <t>2026-09-25</t>
        </is>
      </c>
      <c r="D157" t="inlineStr">
        <is>
          <t>SRC002</t>
        </is>
      </c>
      <c r="E157" t="inlineStr">
        <is>
          <t>量子位</t>
        </is>
      </c>
      <c r="F157" t="inlineStr">
        <is>
          <t>时隔十年，AI大牛署名新论文 – 量子位</t>
        </is>
      </c>
      <c r="G157" t="inlineStr">
        <is>
          <t>https://www.qbitai.com/2026/09/496834.html</t>
        </is>
      </c>
      <c r="H157" t="inlineStr">
        <is>
          <t>AI垂直类</t>
        </is>
      </c>
      <c r="I157" t="inlineStr">
        <is>
          <t>T-IND-001</t>
        </is>
      </c>
      <c r="J157" t="inlineStr">
        <is>
          <t>行业</t>
        </is>
      </c>
      <c r="K157" t="n">
        <v>3</v>
      </c>
      <c r="L157" t="inlineStr">
        <is>
          <t>AI大牛署名新论文杰西卡2026-09-2420:58:55来源：量子位让自动驾驶“走一步想十步”杰</t>
        </is>
      </c>
      <c r="M157" t="inlineStr">
        <is>
          <t>西卡发自ROBO-人量子位ROBO|公众号AI4ROBO自动驾驶领域再出一篇原创研究论文</t>
        </is>
      </c>
      <c r="N157" t="inlineStr">
        <is>
          <t>他的代表性研究主要集中在2014—2016年</t>
        </is>
      </c>
      <c r="Q157" t="inlineStr">
        <is>
          <t>时隔十年，AI大牛署名新论文–量子位首页资讯智能车智库活动MEET大会AIGC扫码关注量子位--&gt;时隔十年，AI大牛署名新论文杰西卡2026-09-2420:58:55来源：量子位让自动驾驶“走一步想十步”杰西卡发自RO…</t>
        </is>
      </c>
      <c r="R157" t="inlineStr">
        <is>
          <t>自动抓取条目；下钻原文并人工核对归属公司与口径。</t>
        </is>
      </c>
      <c r="S157" t="inlineStr">
        <is>
          <t>全文已缓存</t>
        </is>
      </c>
      <c r="U157" t="inlineStr">
        <is>
          <t>自动爬取·待人工复核</t>
        </is>
      </c>
    </row>
    <row r="158">
      <c r="A158" t="inlineStr">
        <is>
          <t>INT-20260925-168</t>
        </is>
      </c>
      <c r="B158" t="inlineStr">
        <is>
          <t>2026-09-25</t>
        </is>
      </c>
      <c r="C158" t="inlineStr">
        <is>
          <t>2026-09-25</t>
        </is>
      </c>
      <c r="D158" t="inlineStr">
        <is>
          <t>SRC002</t>
        </is>
      </c>
      <c r="E158" t="inlineStr">
        <is>
          <t>量子位</t>
        </is>
      </c>
      <c r="F158" t="inlineStr">
        <is>
          <t>GPT-6之后，具身智能走向何方？诺因发布GLOW技术报告，给出机器人“一教就会”的答案 – 量子位</t>
        </is>
      </c>
      <c r="G158" t="inlineStr">
        <is>
          <t>https://www.qbitai.com/2026/09/496816.html</t>
        </is>
      </c>
      <c r="H158" t="inlineStr">
        <is>
          <t>AI垂直类</t>
        </is>
      </c>
      <c r="I158" t="inlineStr">
        <is>
          <t>T-IND-001</t>
        </is>
      </c>
      <c r="J158" t="inlineStr">
        <is>
          <t>行业</t>
        </is>
      </c>
      <c r="K158" t="n">
        <v>3</v>
      </c>
      <c r="L158" t="inlineStr">
        <is>
          <t>GPT-6之后</t>
        </is>
      </c>
      <c r="M158" t="inlineStr">
        <is>
          <t>能车智库活动MEET大会AIGC扫码关注量子位--&gt;GPT-6之后</t>
        </is>
      </c>
      <c r="N158" t="inlineStr">
        <is>
          <t>给出机器人“一教就会”的答案量子位的朋友们2026-09-2416:20:12来源：量子位人类演示一次</t>
        </is>
      </c>
      <c r="Q158" t="inlineStr">
        <is>
          <t>GPT-6之后，具身智能走向何方？诺因发布GLOW技术报告，给出机器人“一教就会”的答案–量子位首页资讯智能车智库活动MEET大会AIGC扫码关注量子位--&gt;GPT-6之后，具身智能走向何方？诺因发布GLOW技术报告，给…</t>
        </is>
      </c>
      <c r="R158" t="inlineStr">
        <is>
          <t>自动抓取条目；下钻原文并人工核对归属公司与口径。</t>
        </is>
      </c>
      <c r="S158" t="inlineStr">
        <is>
          <t>全文已缓存</t>
        </is>
      </c>
      <c r="U158" t="inlineStr">
        <is>
          <t>自动爬取·待人工复核</t>
        </is>
      </c>
    </row>
    <row r="159">
      <c r="A159" t="inlineStr">
        <is>
          <t>INT-20260925-169</t>
        </is>
      </c>
      <c r="B159" t="inlineStr">
        <is>
          <t>2026-09-25</t>
        </is>
      </c>
      <c r="C159" t="inlineStr">
        <is>
          <t>2026-09-25</t>
        </is>
      </c>
      <c r="D159" t="inlineStr">
        <is>
          <t>SRC002</t>
        </is>
      </c>
      <c r="E159" t="inlineStr">
        <is>
          <t>量子位</t>
        </is>
      </c>
      <c r="F159" t="inlineStr">
        <is>
          <t>Stripe Tour 中国首秀：构建 AI 经济基础设施，赋能全球商业增长 – 量子位</t>
        </is>
      </c>
      <c r="G159" t="inlineStr">
        <is>
          <t>https://www.qbitai.com/2026/09/496779.html</t>
        </is>
      </c>
      <c r="H159" t="inlineStr">
        <is>
          <t>AI垂直类</t>
        </is>
      </c>
      <c r="I159" t="inlineStr">
        <is>
          <t>T-IND-001</t>
        </is>
      </c>
      <c r="J159" t="inlineStr">
        <is>
          <t>行业</t>
        </is>
      </c>
      <c r="K159" t="n">
        <v>3</v>
      </c>
      <c r="L159" t="inlineStr">
        <is>
          <t>赋能全球商业增长量子位的朋友们2026-09-2413:46:10来源：量子位StripeManag</t>
        </is>
      </c>
      <c r="M159" t="inlineStr">
        <is>
          <t>edPayments(SMP)现已全面上线2026年9月23日</t>
        </is>
      </c>
      <c r="N159" t="inlineStr">
        <is>
          <t>该活动汇集了超过700位来自商业</t>
        </is>
      </c>
      <c r="Q159" t="inlineStr">
        <is>
          <t>StripeTour中国首秀：构建AI经济基础设施，赋能全球商业增长–量子位首页资讯智能车智库活动MEET大会AIGC扫码关注量子位--&gt;StripeTour中国首秀：构建AI经济基础设施，赋能全球商业增长量子位的朋友们…</t>
        </is>
      </c>
      <c r="R159" t="inlineStr">
        <is>
          <t>自动抓取条目；下钻原文并人工核对归属公司与口径。</t>
        </is>
      </c>
      <c r="S159" t="inlineStr">
        <is>
          <t>全文已缓存</t>
        </is>
      </c>
      <c r="U159" t="inlineStr">
        <is>
          <t>自动爬取·待人工复核</t>
        </is>
      </c>
    </row>
    <row r="160">
      <c r="A160" t="inlineStr">
        <is>
          <t>INT-20260925-170</t>
        </is>
      </c>
      <c r="B160" t="inlineStr">
        <is>
          <t>2026-09-25</t>
        </is>
      </c>
      <c r="C160" t="inlineStr">
        <is>
          <t>2026-09-25</t>
        </is>
      </c>
      <c r="D160" t="inlineStr">
        <is>
          <t>SRC002</t>
        </is>
      </c>
      <c r="E160" t="inlineStr">
        <is>
          <t>量子位</t>
        </is>
      </c>
      <c r="F160" t="inlineStr">
        <is>
          <t>Meta靠自研Manus翻身！股价一夜暴涨11%，登顶苹果商店，增速反超ChatGPT – 量子位</t>
        </is>
      </c>
      <c r="G160" t="inlineStr">
        <is>
          <t>https://www.qbitai.com/2026/09/496647.html</t>
        </is>
      </c>
      <c r="H160" t="inlineStr">
        <is>
          <t>AI垂直类</t>
        </is>
      </c>
      <c r="I160" t="inlineStr">
        <is>
          <t>T-IND-001</t>
        </is>
      </c>
      <c r="J160" t="inlineStr">
        <is>
          <t>行业</t>
        </is>
      </c>
      <c r="K160" t="n">
        <v>4</v>
      </c>
      <c r="L160" t="inlineStr">
        <is>
          <t>Meta靠自研Manus翻身！股价一夜暴涨11%，登顶苹果商店</t>
        </is>
      </c>
      <c r="M160" t="inlineStr">
        <is>
          <t>码关注量子位--&gt;Meta靠自研Manus翻身！股价一夜暴涨11%，登顶苹果商店</t>
        </is>
      </c>
      <c r="N160" t="inlineStr">
        <is>
          <t>增速反超ChatGPTJay2026-09-2410:23:12来源：量子位美国也开启了全民养虾狂潮Ja</t>
        </is>
      </c>
      <c r="Q160" t="inlineStr">
        <is>
          <t>Meta靠自研Manus翻身！股价一夜暴涨11%，登顶苹果商店，增速反超ChatGPT–量子位首页资讯智能车智库活动MEET大会AIGC扫码关注量子位--&gt;Meta靠自研Manus翻身！股价一夜暴涨11%，登顶苹果商店，…</t>
        </is>
      </c>
      <c r="R160" t="inlineStr">
        <is>
          <t>自动抓取条目；下钻原文并人工核对归属公司与口径。</t>
        </is>
      </c>
      <c r="S160" t="inlineStr">
        <is>
          <t>全文已缓存</t>
        </is>
      </c>
      <c r="U160" t="inlineStr">
        <is>
          <t>自动爬取·待人工复核</t>
        </is>
      </c>
    </row>
    <row r="161">
      <c r="A161" t="inlineStr">
        <is>
          <t>INT-20260925-171</t>
        </is>
      </c>
      <c r="B161" t="inlineStr">
        <is>
          <t>1790226424</t>
        </is>
      </c>
      <c r="C161" t="inlineStr">
        <is>
          <t>2026-09-25</t>
        </is>
      </c>
      <c r="D161" t="inlineStr">
        <is>
          <t>SRC001</t>
        </is>
      </c>
      <c r="E161" t="inlineStr">
        <is>
          <t>Deeptech深科技</t>
        </is>
      </c>
      <c r="F161" t="inlineStr">
        <is>
          <t>AI热潮会重演铁路投资泡沫吗？黑石总裁：这次不一样</t>
        </is>
      </c>
      <c r="G161" t="inlineStr">
        <is>
          <t>https://www.mittrchina.com/news/detail/17008</t>
        </is>
      </c>
      <c r="H161" t="inlineStr">
        <is>
          <t>AI垂直类</t>
        </is>
      </c>
      <c r="I161" t="inlineStr">
        <is>
          <t>T-IND-001</t>
        </is>
      </c>
      <c r="J161" t="inlineStr">
        <is>
          <t>行业</t>
        </is>
      </c>
      <c r="K161" t="n">
        <v>3</v>
      </c>
      <c r="L161" t="inlineStr">
        <is>
          <t>要点待人工补充</t>
        </is>
      </c>
      <c r="Q161" t="inlineStr">
        <is>
          <t>AI投资热潮仍在升温，数万亿美元涌向芯片、数据中心和电力项目。然而，一个投资者最关心的问题也愈发迫切。AI投资真正的回报在哪里？…</t>
        </is>
      </c>
      <c r="R161" t="inlineStr">
        <is>
          <t>自动抓取条目；下钻原文并人工核对归属公司与口径。</t>
        </is>
      </c>
      <c r="S161" t="inlineStr">
        <is>
          <t>全文已缓存</t>
        </is>
      </c>
      <c r="U161" t="inlineStr">
        <is>
          <t>自动爬取·待人工复核</t>
        </is>
      </c>
    </row>
    <row r="162">
      <c r="A162" t="inlineStr">
        <is>
          <t>INT-20260925-172</t>
        </is>
      </c>
      <c r="B162" t="inlineStr">
        <is>
          <t>1790217168</t>
        </is>
      </c>
      <c r="C162" t="inlineStr">
        <is>
          <t>2026-09-25</t>
        </is>
      </c>
      <c r="D162" t="inlineStr">
        <is>
          <t>SRC001</t>
        </is>
      </c>
      <c r="E162" t="inlineStr">
        <is>
          <t>Deeptech深科技</t>
        </is>
      </c>
      <c r="F162" t="inlineStr">
        <is>
          <t>Claude自主发现类CRISPR新酶系统，但还不知道它能干什么，张锋点评：值得研究</t>
        </is>
      </c>
      <c r="G162" t="inlineStr">
        <is>
          <t>https://www.mittrchina.com/news/detail/17006</t>
        </is>
      </c>
      <c r="H162" t="inlineStr">
        <is>
          <t>AI垂直类</t>
        </is>
      </c>
      <c r="I162" t="inlineStr">
        <is>
          <t>T-IND-001</t>
        </is>
      </c>
      <c r="J162" t="inlineStr">
        <is>
          <t>行业</t>
        </is>
      </c>
      <c r="K162" t="n">
        <v>3</v>
      </c>
      <c r="L162" t="inlineStr">
        <is>
          <t>要点待人工补充</t>
        </is>
      </c>
      <c r="Q162" t="inlineStr">
        <is>
          <t>9月23日，Anthropic正式介绍了今年春天成立的生命科学研究组和湾区实验室，同时公布了首项成果：Claude在噬菌体（感染细菌的病毒）的DNA中，找到了一个此前从未被描述过的酶系统。这个系统由三部分组成：一个能把R…</t>
        </is>
      </c>
      <c r="R162" t="inlineStr">
        <is>
          <t>自动抓取条目；下钻原文并人工核对归属公司与口径。</t>
        </is>
      </c>
      <c r="S162" t="inlineStr">
        <is>
          <t>全文已缓存</t>
        </is>
      </c>
      <c r="U162" t="inlineStr">
        <is>
          <t>自动爬取·待人工复核</t>
        </is>
      </c>
    </row>
    <row r="163">
      <c r="A163" t="inlineStr">
        <is>
          <t>INT-20260925-173</t>
        </is>
      </c>
      <c r="B163" t="inlineStr">
        <is>
          <t>1790161570</t>
        </is>
      </c>
      <c r="C163" t="inlineStr">
        <is>
          <t>2026-09-25</t>
        </is>
      </c>
      <c r="D163" t="inlineStr">
        <is>
          <t>SRC001</t>
        </is>
      </c>
      <c r="E163" t="inlineStr">
        <is>
          <t>Deeptech深科技</t>
        </is>
      </c>
      <c r="F163" t="inlineStr">
        <is>
          <t>MIT、谷歌发布重磅报告：AI让科研假设变得“廉价”，实验环节成新瓶颈</t>
        </is>
      </c>
      <c r="G163" t="inlineStr">
        <is>
          <t>https://www.mittrchina.com/news/detail/17004</t>
        </is>
      </c>
      <c r="H163" t="inlineStr">
        <is>
          <t>AI垂直类</t>
        </is>
      </c>
      <c r="I163" t="inlineStr">
        <is>
          <t>T-IND-001</t>
        </is>
      </c>
      <c r="J163" t="inlineStr">
        <is>
          <t>行业</t>
        </is>
      </c>
      <c r="K163" t="n">
        <v>4</v>
      </c>
      <c r="L163" t="inlineStr">
        <is>
          <t>要点待人工补充</t>
        </is>
      </c>
      <c r="Q163" t="inlineStr">
        <is>
          <t>过去几年，AIforScience最大的进展，莫过于机器开始进入科学发现的核心环节。AI开始阅读海量论文、寻找人类遗漏的规律、提出新的研究假设，设计蛋白质、药物和材料，甚至参与解决一些过去需要科学家长期攻关的问题。…</t>
        </is>
      </c>
      <c r="R163" t="inlineStr">
        <is>
          <t>自动抓取条目；下钻原文并人工核对归属公司与口径。</t>
        </is>
      </c>
      <c r="S163" t="inlineStr">
        <is>
          <t>全文已缓存</t>
        </is>
      </c>
      <c r="U163" t="inlineStr">
        <is>
          <t>自动爬取·待人工复核</t>
        </is>
      </c>
    </row>
  </sheetData>
  <autoFilter ref="A1:U7"/>
  <dataValidations count="1">
    <dataValidation sqref="H2:H5000" showDropDown="0" showInputMessage="0" showErrorMessage="0" allowBlank="1" type="list">
      <formula1>"A,B,C"</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S1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58" customWidth="1" min="4" max="4"/>
    <col width="18" customWidth="1" min="5" max="5"/>
    <col width="12" customWidth="1" min="6" max="6"/>
    <col width="18" customWidth="1" min="7" max="7"/>
    <col width="60" customWidth="1" min="8" max="8"/>
    <col width="14" customWidth="1" min="9" max="9"/>
    <col width="42" customWidth="1" min="10" max="10"/>
    <col width="18" customWidth="1" min="11" max="11"/>
    <col width="60" customWidth="1" min="12" max="12"/>
    <col width="14" customWidth="1" min="13" max="13"/>
    <col width="42" customWidth="1" min="14" max="14"/>
    <col width="18" customWidth="1" min="15" max="15"/>
    <col width="48" customWidth="1" min="16" max="16"/>
    <col width="18" customWidth="1" min="17" max="17"/>
    <col width="22" customWidth="1" min="18" max="18"/>
    <col width="18" customWidth="1" min="19" max="19"/>
  </cols>
  <sheetData>
    <row r="1" ht="30" customHeight="1">
      <c r="A1" s="16" t="inlineStr">
        <is>
          <t>主张ID</t>
        </is>
      </c>
      <c r="B1" s="16" t="inlineStr">
        <is>
          <t>主题编号</t>
        </is>
      </c>
      <c r="C1" s="16" t="inlineStr">
        <is>
          <t>公司</t>
        </is>
      </c>
      <c r="D1" s="16" t="inlineStr">
        <is>
          <t>主张文本</t>
        </is>
      </c>
      <c r="E1" s="16" t="inlineStr">
        <is>
          <t>来源情报ID</t>
        </is>
      </c>
      <c r="F1" s="16" t="inlineStr">
        <is>
          <t>分类</t>
        </is>
      </c>
      <c r="G1" s="16" t="inlineStr">
        <is>
          <t>卖方机构</t>
        </is>
      </c>
      <c r="H1" s="16" t="inlineStr">
        <is>
          <t>卖方观点/原文</t>
        </is>
      </c>
      <c r="I1" s="16" t="inlineStr">
        <is>
          <t>研报日期</t>
        </is>
      </c>
      <c r="J1" s="16" t="inlineStr">
        <is>
          <t>研报链接/定位</t>
        </is>
      </c>
      <c r="K1" s="16" t="inlineStr">
        <is>
          <t>官方资料类型</t>
        </is>
      </c>
      <c r="L1" s="16" t="inlineStr">
        <is>
          <t>官方口径/原文</t>
        </is>
      </c>
      <c r="M1" s="16" t="inlineStr">
        <is>
          <t>官方日期</t>
        </is>
      </c>
      <c r="N1" s="16" t="inlineStr">
        <is>
          <t>官方链接/定位</t>
        </is>
      </c>
      <c r="O1" s="16" t="inlineStr">
        <is>
          <t>勾稽状态</t>
        </is>
      </c>
      <c r="P1" s="16" t="inlineStr">
        <is>
          <t>冲突说明</t>
        </is>
      </c>
      <c r="Q1" s="16" t="inlineStr">
        <is>
          <t>结论准入</t>
        </is>
      </c>
      <c r="R1" s="16" t="inlineStr">
        <is>
          <t>本周变化</t>
        </is>
      </c>
      <c r="S1" s="16" t="inlineStr">
        <is>
          <t>负责人</t>
        </is>
      </c>
    </row>
    <row r="2">
      <c r="A2" s="18" t="inlineStr">
        <is>
          <t>CLM-20260916-001</t>
        </is>
      </c>
      <c r="B2" s="18" t="inlineStr">
        <is>
          <t>T-ADS-001</t>
        </is>
      </c>
      <c r="C2" s="18" t="inlineStr">
        <is>
          <t>Meta</t>
        </is>
      </c>
      <c r="D2" s="18" t="inlineStr">
        <is>
          <t>Muse Image正在从消费级创作工具进入Meta广告素材生产链。</t>
        </is>
      </c>
      <c r="E2" s="18" t="inlineStr">
        <is>
          <t>INT-20260916-001</t>
        </is>
      </c>
      <c r="F2" s="18" t="inlineStr">
        <is>
          <t>A</t>
        </is>
      </c>
      <c r="G2" s="18" t="inlineStr"/>
      <c r="H2" s="18" t="inlineStr">
        <is>
          <t>待补MS/GS对广告创意效率和收入增量的判断</t>
        </is>
      </c>
      <c r="I2" s="18" t="inlineStr"/>
      <c r="J2" s="18" t="inlineStr"/>
      <c r="K2" s="18" t="inlineStr">
        <is>
          <t>产品发布</t>
        </is>
      </c>
      <c r="L2" s="18" t="inlineStr">
        <is>
          <t>Muse Image接入Meta AI、Instagram和WhatsApp，并计划进入Advantage+ creative。</t>
        </is>
      </c>
      <c r="M2" s="18" t="inlineStr">
        <is>
          <t>2026-07-07</t>
        </is>
      </c>
      <c r="N2" s="18" t="inlineStr">
        <is>
          <t>https://ai.meta.com/blog/introducing-muse-image-muse-video-msl</t>
        </is>
      </c>
      <c r="O2" s="18" t="inlineStr">
        <is>
          <t>官方已锚定</t>
        </is>
      </c>
      <c r="P2" s="18" t="inlineStr">
        <is>
          <t>华尔街见闻关于公开Instagram内容引用的报道，与Meta 7月10日更新后撤回该功能存在时点差异；保留双方表述。</t>
        </is>
      </c>
      <c r="Q2" s="18" t="inlineStr">
        <is>
          <t>禁入结论</t>
        </is>
      </c>
      <c r="R2" s="18" t="inlineStr">
        <is>
          <t>首批入库</t>
        </is>
      </c>
      <c r="S2" s="18" t="inlineStr">
        <is>
          <t>hi work</t>
        </is>
      </c>
    </row>
    <row r="3">
      <c r="A3" s="18" t="inlineStr">
        <is>
          <t>CLM-20260916-002</t>
        </is>
      </c>
      <c r="B3" s="18" t="inlineStr">
        <is>
          <t>T-AIO-001</t>
        </is>
      </c>
      <c r="C3" s="18" t="inlineStr">
        <is>
          <t>Google</t>
        </is>
      </c>
      <c r="D3" s="18" t="inlineStr">
        <is>
          <t>Google正把搜索广告从关键词与页面驱动，迁移到由意图、文案和落地页共同驱动的AI Max。</t>
        </is>
      </c>
      <c r="E3" s="18" t="inlineStr">
        <is>
          <t>INT-20260916-003</t>
        </is>
      </c>
      <c r="F3" s="18" t="inlineStr">
        <is>
          <t>A</t>
        </is>
      </c>
      <c r="G3" s="18" t="inlineStr"/>
      <c r="H3" s="18" t="inlineStr">
        <is>
          <t>待补卖方对AIO/AIM变现、增量转化与流量质量的评价</t>
        </is>
      </c>
      <c r="I3" s="18" t="inlineStr"/>
      <c r="J3" s="18" t="inlineStr"/>
      <c r="K3" s="18" t="inlineStr">
        <is>
          <t>Google Ads官方博客</t>
        </is>
      </c>
      <c r="L3" s="18" t="inlineStr">
        <is>
          <t>完整功能较仅用搜索词匹配平均增加7%的转化或转化价值，CPA/ROAS相近。</t>
        </is>
      </c>
      <c r="M3" s="18" t="inlineStr">
        <is>
          <t>2026-06-11</t>
        </is>
      </c>
      <c r="N3" s="18" t="inlineStr">
        <is>
          <t>https://blog.google/products/ads-commerce/dsa-upgrade-to-ai-max-2026/</t>
        </is>
      </c>
      <c r="O3" s="18" t="inlineStr">
        <is>
          <t>官方已锚定</t>
        </is>
      </c>
      <c r="P3" s="18" t="inlineStr"/>
      <c r="Q3" s="18" t="inlineStr">
        <is>
          <t>禁入结论</t>
        </is>
      </c>
      <c r="R3" s="18" t="inlineStr">
        <is>
          <t>首批入库</t>
        </is>
      </c>
      <c r="S3" s="18" t="inlineStr">
        <is>
          <t>hi work</t>
        </is>
      </c>
    </row>
    <row r="4">
      <c r="A4" s="18" t="inlineStr">
        <is>
          <t>CLM-20260916-003</t>
        </is>
      </c>
      <c r="B4" s="18" t="inlineStr">
        <is>
          <t>T-CAPEX-001</t>
        </is>
      </c>
      <c r="C4" s="18" t="inlineStr">
        <is>
          <t>Amazon</t>
        </is>
      </c>
      <c r="D4" s="18" t="inlineStr">
        <is>
          <t>Amazon的AI Capex可通过AWS、AI服务与自研芯片形成外部收入回收路径。</t>
        </is>
      </c>
      <c r="E4" s="18" t="inlineStr">
        <is>
          <t>INT-20260916-005</t>
        </is>
      </c>
      <c r="F4" s="18" t="inlineStr">
        <is>
          <t>B</t>
        </is>
      </c>
      <c r="G4" s="18" t="inlineStr"/>
      <c r="H4" s="18" t="inlineStr">
        <is>
          <t>待补MS/GS对Capex回报周期与利用率的测算</t>
        </is>
      </c>
      <c r="I4" s="18" t="inlineStr"/>
      <c r="J4" s="18" t="inlineStr"/>
      <c r="K4" s="18" t="inlineStr">
        <is>
          <t>Amazon Q2财报</t>
        </is>
      </c>
      <c r="L4" s="18" t="inlineStr">
        <is>
          <t>AWS收入422亿美元，同比增长37%；AI和芯片业务年化收入均超250亿美元；TTM自由现金流为-76亿美元。</t>
        </is>
      </c>
      <c r="M4" s="18" t="inlineStr">
        <is>
          <t>2026-07-30</t>
        </is>
      </c>
      <c r="N4" s="18" t="inlineStr">
        <is>
          <t>https://www.aboutamazon.com/news/company-news/amazon-earnings-q2-2026-report</t>
        </is>
      </c>
      <c r="O4" s="18" t="inlineStr">
        <is>
          <t>官方已锚定</t>
        </is>
      </c>
      <c r="P4" s="18" t="inlineStr"/>
      <c r="Q4" s="18" t="inlineStr">
        <is>
          <t>禁入结论</t>
        </is>
      </c>
      <c r="R4" s="18" t="inlineStr">
        <is>
          <t>首批入库</t>
        </is>
      </c>
      <c r="S4" s="18" t="inlineStr">
        <is>
          <t>hi work</t>
        </is>
      </c>
    </row>
    <row r="5">
      <c r="A5" s="18" t="inlineStr">
        <is>
          <t>CLM-20260916-004</t>
        </is>
      </c>
      <c r="B5" s="18" t="inlineStr">
        <is>
          <t>T-CAPEX-001</t>
        </is>
      </c>
      <c r="C5" s="18" t="inlineStr">
        <is>
          <t>超大规模厂商</t>
        </is>
      </c>
      <c r="D5" s="18" t="inlineStr">
        <is>
          <t>市场对Capex的关注点正从投入规模转向可验证的商业化与自由现金流回报。</t>
        </is>
      </c>
      <c r="E5" s="18" t="inlineStr">
        <is>
          <t>INT-20260916-004</t>
        </is>
      </c>
      <c r="F5" s="18" t="inlineStr">
        <is>
          <t>B</t>
        </is>
      </c>
      <c r="G5" s="18" t="inlineStr">
        <is>
          <t>DJE Kapital</t>
        </is>
      </c>
      <c r="H5" s="18" t="inlineStr">
        <is>
          <t>2026年超大规模厂商投资预计7250亿至8000亿美元，约75%流向AI基础设施。</t>
        </is>
      </c>
      <c r="I5" s="18" t="inlineStr">
        <is>
          <t>2026-06-11</t>
        </is>
      </c>
      <c r="J5" s="18" t="inlineStr">
        <is>
          <t>https://www.dje.de/en/markets/ai-investment-and-monetisation-the-technology-sector-is-being-reshaped</t>
        </is>
      </c>
      <c r="K5" s="18" t="inlineStr"/>
      <c r="L5" s="18" t="inlineStr">
        <is>
          <t>待逐公司补官方最新指引</t>
        </is>
      </c>
      <c r="M5" s="18" t="inlineStr"/>
      <c r="N5" s="18" t="inlineStr"/>
      <c r="O5" s="18" t="inlineStr">
        <is>
          <t>卖方已验证</t>
        </is>
      </c>
      <c r="P5" s="18" t="inlineStr">
        <is>
          <t>DJE文中口径早于部分公司Q2更新，需逐公司使用最新官方指引覆盖。</t>
        </is>
      </c>
      <c r="Q5" s="18" t="inlineStr">
        <is>
          <t>禁入结论</t>
        </is>
      </c>
      <c r="R5" s="18" t="inlineStr">
        <is>
          <t>首批入库</t>
        </is>
      </c>
      <c r="S5" s="18" t="inlineStr">
        <is>
          <t>hi work</t>
        </is>
      </c>
    </row>
    <row r="6">
      <c r="A6" t="inlineStr">
        <is>
          <t>CLM-20260916-005</t>
        </is>
      </c>
      <c r="B6" t="inlineStr">
        <is>
          <t>T-ADS-001</t>
        </is>
      </c>
      <c r="C6" t="inlineStr">
        <is>
          <t>Meta</t>
        </is>
      </c>
      <c r="D6" t="inlineStr">
        <is>
          <t>广告AI提效已具备进入盈利预测的基础，Muse开启新一轮产品周期、是验证AI资本开支回报的关键节点，但相关利好尚未被估值定价。</t>
        </is>
      </c>
      <c r="E6" t="inlineStr">
        <is>
          <t>INT-20260916-007</t>
        </is>
      </c>
      <c r="F6" t="inlineStr">
        <is>
          <t>我们的判断（REDoc 4acc55ee）</t>
        </is>
      </c>
      <c r="G6" t="inlineStr">
        <is>
          <t>MS / 高盛 / 巴克莱</t>
        </is>
      </c>
      <c r="H6" t="inlineStr">
        <is>
          <t>MS认可规模化分发、独家用户数据、免费入门三大优势，认为广告现金流可承担Muse早期投入；高盛提出Capex三大支撑条件（云与AI收入上调、增量营业利润率改善、单位GW变现水平），Meta无满足项；巴克莱测算单位GW算力变现近乎归零。</t>
        </is>
      </c>
      <c r="I6" t="inlineStr">
        <is>
          <t>2026-07-29</t>
        </is>
      </c>
      <c r="K6" t="inlineStr">
        <is>
          <t>官方新闻稿</t>
        </is>
      </c>
      <c r="L6" t="inlineStr">
        <is>
          <t>2Q26广告展示量+14%、单价+12%、收入608亿美元+28%；Capex 310.8亿、FCF降至7.84亿。</t>
        </is>
      </c>
      <c r="M6" t="inlineStr">
        <is>
          <t>2026-07-29</t>
        </is>
      </c>
      <c r="N6" t="inlineStr">
        <is>
          <t>https://investor.atmeta.com/investor-news/press-release-details/2026/Meta-Reports-Second-Quarter-2026-Results/default.aspx</t>
        </is>
      </c>
      <c r="O6" t="inlineStr">
        <is>
          <t>官方已锚定</t>
        </is>
      </c>
      <c r="P6" t="inlineStr">
        <is>
          <t>MS与高盛/巴克莱结论相反，保留双方口径。</t>
        </is>
      </c>
      <c r="Q6" t="inlineStr">
        <is>
          <t>禁入结论</t>
        </is>
      </c>
      <c r="R6" t="inlineStr">
        <is>
          <t>0916新增</t>
        </is>
      </c>
      <c r="S6" t="inlineStr">
        <is>
          <t>邢怀天（实习）</t>
        </is>
      </c>
    </row>
    <row r="7">
      <c r="A7" t="inlineStr">
        <is>
          <t>CLM-20260916-006</t>
        </is>
      </c>
      <c r="B7" t="inlineStr">
        <is>
          <t>T-CAPEX-001</t>
        </is>
      </c>
      <c r="C7" t="inlineStr">
        <is>
          <t>Meta</t>
        </is>
      </c>
      <c r="D7" t="inlineStr">
        <is>
          <t>Meta相较同业缺失支撑资本开支的业绩能见度：云厂商靠订单backlog可视化回报，Meta依赖难以外部核验的内部效益。</t>
        </is>
      </c>
      <c r="E7" t="inlineStr">
        <is>
          <t>INT-20260916-007</t>
        </is>
      </c>
      <c r="F7" t="inlineStr">
        <is>
          <t>我们的判断（REDoc 4acc55ee）</t>
        </is>
      </c>
      <c r="G7" t="inlineStr">
        <is>
          <t>JPM / MS</t>
        </is>
      </c>
      <c r="H7" t="inlineStr">
        <is>
          <t>JPM指出相关Capex尚未带来明确订单、合同或已商业化产品；MS测算自建算力提供模型API的理论ROIC约46%，高于仅出租算力。</t>
        </is>
      </c>
      <c r="I7" t="inlineStr">
        <is>
          <t>2026-07-29</t>
        </is>
      </c>
      <c r="K7" t="inlineStr">
        <is>
          <t>官方新闻稿</t>
        </is>
      </c>
      <c r="L7" t="inlineStr">
        <is>
          <t>公司称算力具有多重回报路径，但无独立认证指标；全年Capex指引1300-1450亿美元。</t>
        </is>
      </c>
      <c r="M7" t="inlineStr">
        <is>
          <t>2026-07-29</t>
        </is>
      </c>
      <c r="N7" t="inlineStr">
        <is>
          <t>https://investor.atmeta.com/investor-news/press-release-details/2026/Meta-Reports-Second-Quarter-2026-Results/default.aspx</t>
        </is>
      </c>
      <c r="O7" t="inlineStr">
        <is>
          <t>官方已锚定</t>
        </is>
      </c>
      <c r="P7" t="inlineStr">
        <is>
          <t>理论ROIC为MS模型测算口径，非公司披露。</t>
        </is>
      </c>
      <c r="Q7" t="inlineStr">
        <is>
          <t>禁入结论</t>
        </is>
      </c>
      <c r="R7" t="inlineStr">
        <is>
          <t>0916新增</t>
        </is>
      </c>
      <c r="S7" t="inlineStr">
        <is>
          <t>邢怀天（实习）</t>
        </is>
      </c>
    </row>
    <row r="8">
      <c r="A8" t="inlineStr">
        <is>
          <t>CLM-20260916-007</t>
        </is>
      </c>
      <c r="B8" t="inlineStr">
        <is>
          <t>T-CAPEX-001</t>
        </is>
      </c>
      <c r="C8" t="inlineStr">
        <is>
          <t>Google</t>
        </is>
      </c>
      <c r="D8" t="inlineStr">
        <is>
          <t>AI回报三条路径：Search巩固核心、Cloud承接企业算力、TPU外销拓展基础设施收入；Search防御与Cloud商业化已获初步认可，AI搜索经济性仍无法判断。</t>
        </is>
      </c>
      <c r="E8" t="inlineStr">
        <is>
          <t>INT-20260916-008</t>
        </is>
      </c>
      <c r="F8" t="inlineStr">
        <is>
          <t>我们的判断（REDoc 4acc55ee）</t>
        </is>
      </c>
      <c r="G8" t="inlineStr">
        <is>
          <t>JPM / MS</t>
        </is>
      </c>
      <c r="H8" t="inlineStr">
        <is>
          <t>JPM认为TPU外售可能成为重要增量；MS预计Google新增算力产能最多。</t>
        </is>
      </c>
      <c r="I8" t="inlineStr">
        <is>
          <t>2026-07-22</t>
        </is>
      </c>
      <c r="K8" t="inlineStr">
        <is>
          <t>官方新闻稿+电话会</t>
        </is>
      </c>
      <c r="L8" t="inlineStr">
        <is>
          <t>Cloud收入+82%、backlog 5140亿美元；季度FCF为-59亿美元，全年Capex指引上调至1950-2050亿美元。</t>
        </is>
      </c>
      <c r="M8" t="inlineStr">
        <is>
          <t>2026-07-22</t>
        </is>
      </c>
      <c r="N8" t="inlineStr">
        <is>
          <t>https://www.abc.xyz/investor/news/news-details/2026/Alphabet-Announces-Second-Quarter-2026-Results-2026-Y3uQ6H4ZJa/default.aspx</t>
        </is>
      </c>
      <c r="O8" t="inlineStr">
        <is>
          <t>官方已锚定</t>
        </is>
      </c>
      <c r="P8" t="inlineStr">
        <is>
          <t>公司尚未拆分AI查询单次收入、点击率与推理成本；TPU外销可能拉低产品组合毛利率。</t>
        </is>
      </c>
      <c r="Q8" t="inlineStr">
        <is>
          <t>禁入结论</t>
        </is>
      </c>
      <c r="R8" t="inlineStr">
        <is>
          <t>0916新增</t>
        </is>
      </c>
      <c r="S8" t="inlineStr">
        <is>
          <t>邢怀天（实习）</t>
        </is>
      </c>
    </row>
    <row r="9">
      <c r="A9" t="inlineStr">
        <is>
          <t>CLM-20260916-008</t>
        </is>
      </c>
      <c r="B9" t="inlineStr">
        <is>
          <t>T-CAPEX-001</t>
        </is>
      </c>
      <c r="C9" t="inlineStr">
        <is>
          <t>Microsoft</t>
        </is>
      </c>
      <c r="D9" t="inlineStr">
        <is>
          <t>最接近形成从使用到收入的连续证据链：Azure计费+Copilot席位+Agent工作流三层承接同一需求，但存在重复计价风险。</t>
        </is>
      </c>
      <c r="E9" t="inlineStr">
        <is>
          <t>INT-20260916-009</t>
        </is>
      </c>
      <c r="F9" t="inlineStr">
        <is>
          <t>我们的判断（REDoc 4acc55ee）</t>
        </is>
      </c>
      <c r="G9" t="inlineStr">
        <is>
          <t>JPM</t>
        </is>
      </c>
      <c r="H9" t="inlineStr">
        <is>
          <t>JPM以Backlog/Capex 3.8x与Book-to-Bill 4.1x跟踪订单转化；Nadella转发约30%的AI基础设施ROIC测算被JPM解读为管理层认可相近回报水平（非官方披露）。</t>
        </is>
      </c>
      <c r="I9" t="inlineStr">
        <is>
          <t>2026-07-29</t>
        </is>
      </c>
      <c r="K9" t="inlineStr">
        <is>
          <t>官方新闻稿</t>
        </is>
      </c>
      <c r="L9" t="inlineStr">
        <is>
          <t>FY26Q4收入900亿美元+18%；商业RPO 6780亿+84%；Azure全年收入首破千亿美元。</t>
        </is>
      </c>
      <c r="M9" t="inlineStr">
        <is>
          <t>2026-07-29</t>
        </is>
      </c>
      <c r="N9" t="inlineStr">
        <is>
          <t>https://www.microsoft.com/en-us/investor/earnings/fy-2026-q4/press-release-webcast</t>
        </is>
      </c>
      <c r="O9" t="inlineStr">
        <is>
          <t>官方已锚定</t>
        </is>
      </c>
      <c r="P9" t="inlineStr">
        <is>
          <t>RPO含大量传统企业业务，订单增长不能全部视为AI收入；部署席位与注册量不能证明净新增ARPU。</t>
        </is>
      </c>
      <c r="Q9" t="inlineStr">
        <is>
          <t>禁入结论</t>
        </is>
      </c>
      <c r="R9" t="inlineStr">
        <is>
          <t>0916新增</t>
        </is>
      </c>
      <c r="S9" t="inlineStr">
        <is>
          <t>邢怀天（实习）</t>
        </is>
      </c>
    </row>
    <row r="10">
      <c r="A10" t="inlineStr">
        <is>
          <t>CLM-20260916-009</t>
        </is>
      </c>
      <c r="B10" t="inlineStr">
        <is>
          <t>T-CAPEX-001</t>
        </is>
      </c>
      <c r="C10" t="inlineStr">
        <is>
          <t>Amazon</t>
        </is>
      </c>
      <c r="D10" t="inlineStr">
        <is>
          <t>对Capex的解释最接近项目回报测算：服务器&lt;3年回本、寿命5-6年、合同≥5年逐项对应；2027年大部分产能已被预订，回报判断从信念问题转化为可复核的算术问题。</t>
        </is>
      </c>
      <c r="E10" t="inlineStr">
        <is>
          <t>INT-20260916-005</t>
        </is>
      </c>
      <c r="F10" t="inlineStr">
        <is>
          <t>我们的判断（REDoc 4acc55ee）</t>
        </is>
      </c>
      <c r="G10" t="inlineStr">
        <is>
          <t>MS</t>
        </is>
      </c>
      <c r="H10" t="inlineStr">
        <is>
          <t>市场最认可Amazon：需求触发支出+3年回本账最清；MS预计2028年数据中心Capex增速仅6%，靠预建收缩。</t>
        </is>
      </c>
      <c r="I10" t="inlineStr">
        <is>
          <t>2026-07-30</t>
        </is>
      </c>
      <c r="K10" t="inlineStr">
        <is>
          <t>官方新闻稿</t>
        </is>
      </c>
      <c r="L10" t="inlineStr">
        <is>
          <t>AWS收入422亿+37%、营业利润率39%；AI与芯片年化收入均超250亿美元；TTM自由现金流-76亿美元。</t>
        </is>
      </c>
      <c r="M10" t="inlineStr">
        <is>
          <t>2026-07-30</t>
        </is>
      </c>
      <c r="N10" t="inlineStr">
        <is>
          <t>https://www.aboutamazon.com/news/company-news/amazon-earnings-q2-2026-report</t>
        </is>
      </c>
      <c r="O10" t="inlineStr">
        <is>
          <t>官方已锚定</t>
        </is>
      </c>
      <c r="P10" t="inlineStr">
        <is>
          <t>长合同同时放大客户信用、价格重谈与技术过时风险；数据中心与服务器存在期限错配。</t>
        </is>
      </c>
      <c r="Q10" t="inlineStr">
        <is>
          <t>禁入结论</t>
        </is>
      </c>
      <c r="R10" t="inlineStr">
        <is>
          <t>0916新增</t>
        </is>
      </c>
      <c r="S10" t="inlineStr">
        <is>
          <t>邢怀天（实习）</t>
        </is>
      </c>
    </row>
    <row r="11">
      <c r="A11" t="inlineStr">
        <is>
          <t>CLM-20260916-010</t>
        </is>
      </c>
      <c r="B11" t="inlineStr">
        <is>
          <t>T-CN-001</t>
        </is>
      </c>
      <c r="C11" t="inlineStr">
        <is>
          <t>腾讯</t>
        </is>
      </c>
      <c r="D11" t="inlineStr">
        <is>
          <t>四家中国公司中唯一将新AI产品收入成本影响单独量化披露：剔除后Non-IFRS经营利润861亿(+19%) vs 未剔除756亿(+9%)，AI原生投入可与主业利润分层观察。</t>
        </is>
      </c>
      <c r="E11" t="inlineStr">
        <is>
          <t>INT-20260916-010</t>
        </is>
      </c>
      <c r="F11" t="inlineStr">
        <is>
          <t>我们的判断（腾讯 one pager 3d063361）</t>
        </is>
      </c>
      <c r="G11" t="inlineStr">
        <is>
          <t>花旗 / MS</t>
        </is>
      </c>
      <c r="H11" t="inlineStr">
        <is>
          <t>花旗称核心业务韧性凸显、AI应用成效显现；MS担忧2026下半年至2027年盈利可能陷入持平。</t>
        </is>
      </c>
      <c r="I11" t="inlineStr">
        <is>
          <t>2026-08-20</t>
        </is>
      </c>
      <c r="K11" t="inlineStr">
        <is>
          <t>业绩公告(HKEX)</t>
        </is>
      </c>
      <c r="L11" t="inlineStr">
        <is>
          <t>HKEX公告：季度自由现金流-138亿元、资本开支付款593亿元。</t>
        </is>
      </c>
      <c r="M11" t="inlineStr">
        <is>
          <t>2026-08-12</t>
        </is>
      </c>
      <c r="N11" t="inlineStr">
        <is>
          <t>https://www1.hkexnews.hk/listedco/listconews/sehk/2026/0812/2026081200297_c.pdf</t>
        </is>
      </c>
      <c r="O11" t="inlineStr">
        <is>
          <t>官方已锚定</t>
        </is>
      </c>
      <c r="P11" t="inlineStr">
        <is>
          <t>两种算法并存且差异显著，不折中、同时呈现。</t>
        </is>
      </c>
      <c r="Q11" t="inlineStr">
        <is>
          <t>禁入结论</t>
        </is>
      </c>
      <c r="R11" t="inlineStr">
        <is>
          <t>0916新增</t>
        </is>
      </c>
      <c r="S11" t="inlineStr">
        <is>
          <t>邢怀天（实习）</t>
        </is>
      </c>
    </row>
    <row r="12">
      <c r="A12" t="inlineStr">
        <is>
          <t>CLM-20260916-011</t>
        </is>
      </c>
      <c r="B12" t="inlineStr">
        <is>
          <t>T-CN-001</t>
        </is>
      </c>
      <c r="C12" t="inlineStr">
        <is>
          <t>腾讯</t>
        </is>
      </c>
      <c r="D12" t="inlineStr">
        <is>
          <t>算力投入设明确上限且有下行保护：优先自研模型与应用，token业务正毛利，锁定订单可按超30%价差转售，最坏情况可由腾讯云出租回收成本。</t>
        </is>
      </c>
      <c r="E12" t="inlineStr">
        <is>
          <t>INT-20260916-010</t>
        </is>
      </c>
      <c r="F12" t="inlineStr">
        <is>
          <t>我们的判断（腾讯 one pager 3d063361）</t>
        </is>
      </c>
      <c r="K12" t="inlineStr">
        <is>
          <t>业绩会逐字稿</t>
        </is>
      </c>
      <c r="L12" t="inlineStr">
        <is>
          <t>Martin Lau业绩会：最坏情况下也可以选择通过腾讯云将该基础设施以成本回收甚至更高的价格对外出租。</t>
        </is>
      </c>
      <c r="M12" t="inlineStr">
        <is>
          <t>2026-08-12</t>
        </is>
      </c>
      <c r="N12" t="inlineStr">
        <is>
          <t>https://www1.hkexnews.hk/listedco/listconews/sehk/2026/0812/2026081200297_c.pdf</t>
        </is>
      </c>
      <c r="O12" t="inlineStr">
        <is>
          <t>官方已锚定</t>
        </is>
      </c>
      <c r="Q12" t="inlineStr">
        <is>
          <t>禁入结论</t>
        </is>
      </c>
      <c r="R12" t="inlineStr">
        <is>
          <t>0916新增</t>
        </is>
      </c>
      <c r="S12" t="inlineStr">
        <is>
          <t>邢怀天（实习）</t>
        </is>
      </c>
    </row>
    <row r="13">
      <c r="A13" t="inlineStr">
        <is>
          <t>CLM-20260916-012</t>
        </is>
      </c>
      <c r="B13" t="inlineStr">
        <is>
          <t>T-CN-001</t>
        </is>
      </c>
      <c r="C13" t="inlineStr">
        <is>
          <t>阿里</t>
        </is>
      </c>
      <c r="D13" t="inlineStr">
        <is>
          <t>四家中唯一的当期报表故事：AI相关收入连续12季三位数、年化495亿占云外部收入35%，三年回本框架并向2.5年推进。</t>
        </is>
      </c>
      <c r="E13" t="inlineStr">
        <is>
          <t>INT-20260916-011</t>
        </is>
      </c>
      <c r="F13" t="inlineStr">
        <is>
          <t>我们的判断（阿里 one pager 128a17b4）</t>
        </is>
      </c>
      <c r="G13" t="inlineStr">
        <is>
          <t>MS / UBS</t>
        </is>
      </c>
      <c r="H13" t="inlineStr">
        <is>
          <t>MS列Gary Yu Top Pick，给出mid-teens ROIC与EPS上调周期；UBS判断AI实验室亏损本季见顶、后续稳定在110-120亿元区间，FY29 FCF转正。</t>
        </is>
      </c>
      <c r="I13" t="inlineStr">
        <is>
          <t>2026-08-20</t>
        </is>
      </c>
      <c r="K13" t="inlineStr">
        <is>
          <t>业绩公告(HKEX)</t>
        </is>
      </c>
      <c r="L13" t="inlineStr">
        <is>
          <t>HKEX公告：资本开支676.78亿元+75%；AI云与算力服务收入484.37亿元+45%。</t>
        </is>
      </c>
      <c r="M13" t="inlineStr">
        <is>
          <t>2026-08-20</t>
        </is>
      </c>
      <c r="N13" t="inlineStr">
        <is>
          <t>https://www1.hkexnews.hk/listedco/listconews/sehk/2026/0820/2026082000746_c.pdf</t>
        </is>
      </c>
      <c r="O13" t="inlineStr">
        <is>
          <t>官方已锚定</t>
        </is>
      </c>
      <c r="Q13" t="inlineStr">
        <is>
          <t>禁入结论</t>
        </is>
      </c>
      <c r="R13" t="inlineStr">
        <is>
          <t>0916新增</t>
        </is>
      </c>
      <c r="S13" t="inlineStr">
        <is>
          <t>邢怀天（实习）</t>
        </is>
      </c>
    </row>
    <row r="14">
      <c r="A14" t="inlineStr">
        <is>
          <t>CLM-20260916-013</t>
        </is>
      </c>
      <c r="B14" t="inlineStr">
        <is>
          <t>T-CN-001</t>
        </is>
      </c>
      <c r="C14" t="inlineStr">
        <is>
          <t>快手</t>
        </is>
      </c>
      <c r="D14" t="inlineStr">
        <is>
          <t>双主线：生成式推荐与智能出价稳主业（AIGC素材+70%），可灵建第二曲线（8.5亿/+200%、融资30亿美元投后180亿）；广告增长全来自价格端，DAU仅+0.8%。</t>
        </is>
      </c>
      <c r="E14" t="inlineStr">
        <is>
          <t>INT-20260916-012</t>
        </is>
      </c>
      <c r="F14" t="inlineStr">
        <is>
          <t>我们的判断（快手 one pager fdb0a945）</t>
        </is>
      </c>
      <c r="G14" t="inlineStr">
        <is>
          <t>野村 / 华泰</t>
        </is>
      </c>
      <c r="H14" t="inlineStr">
        <is>
          <t>野村估算外循环中个位数增长、内循环持平，认为Seedance 2.5领先可灵；华泰测算剔除可灵后主业2026年净利约135亿元。</t>
        </is>
      </c>
      <c r="I14" t="inlineStr">
        <is>
          <t>2026-08-19</t>
        </is>
      </c>
      <c r="K14" t="inlineStr">
        <is>
          <t>业绩公告(HKEX)</t>
        </is>
      </c>
      <c r="L14" t="inlineStr">
        <is>
          <t>HKEX公告：研发开支46亿元+34.7%主因AI投入；核心商业收入+7.4%。</t>
        </is>
      </c>
      <c r="M14" t="inlineStr">
        <is>
          <t>2026-08-19</t>
        </is>
      </c>
      <c r="N14" t="inlineStr">
        <is>
          <t>https://www1.hkexnews.hk/listedco/listconews/sehk/2026/0819/2026081900315_c.pdf</t>
        </is>
      </c>
      <c r="O14" t="inlineStr">
        <is>
          <t>官方已锚定</t>
        </is>
      </c>
      <c r="P14" t="inlineStr">
        <is>
          <t>可灵估值口径：卖方SOTP约120亿美元 vs 独立融资投后约180亿美元，保留差异。</t>
        </is>
      </c>
      <c r="Q14" t="inlineStr">
        <is>
          <t>禁入结论</t>
        </is>
      </c>
      <c r="R14" t="inlineStr">
        <is>
          <t>0916新增</t>
        </is>
      </c>
      <c r="S14" t="inlineStr">
        <is>
          <t>邢怀天（实习）</t>
        </is>
      </c>
    </row>
    <row r="15">
      <c r="A15" t="inlineStr">
        <is>
          <t>CLM-20260916-014</t>
        </is>
      </c>
      <c r="B15" t="inlineStr">
        <is>
          <t>T-CN-001</t>
        </is>
      </c>
      <c r="C15" t="inlineStr">
        <is>
          <t>美团</t>
        </is>
      </c>
      <c r="D15" t="inlineStr">
        <is>
          <t>AI商业化以强化本地服务核心业务为唯一方向，明确不做Token工厂；投入在费用端（研发77亿+22.5%），未披露Capex与AI直接收入，小团赋能暂无可验证指标。</t>
        </is>
      </c>
      <c r="E15" t="inlineStr">
        <is>
          <t>INT-20260916-013</t>
        </is>
      </c>
      <c r="F15" t="inlineStr">
        <is>
          <t>我们的判断（美团 one pager 411e5fca）</t>
        </is>
      </c>
      <c r="K15" t="inlineStr">
        <is>
          <t>业绩会逐字稿</t>
        </is>
      </c>
      <c r="L15" t="inlineStr">
        <is>
          <t>陈少晖资本配置问答：AI是非常重要的战略机会，但会审慎决定投资领域和方式，不计划激进竞争Token工厂业务。</t>
        </is>
      </c>
      <c r="M15" t="inlineStr">
        <is>
          <t>2026-08-28</t>
        </is>
      </c>
      <c r="N15" t="inlineStr">
        <is>
          <t>https://www1.hkexnews.hk/listedco/listconews/sehk/2026/0828/2026082800436_c.pdf</t>
        </is>
      </c>
      <c r="O15" t="inlineStr">
        <is>
          <t>官方已锚定</t>
        </is>
      </c>
      <c r="Q15" t="inlineStr">
        <is>
          <t>禁入结论</t>
        </is>
      </c>
      <c r="R15" t="inlineStr">
        <is>
          <t>0916新增</t>
        </is>
      </c>
      <c r="S15" t="inlineStr">
        <is>
          <t>邢怀天（实习）</t>
        </is>
      </c>
    </row>
    <row r="16">
      <c r="A16" t="inlineStr">
        <is>
          <t>CLM-20260916-015</t>
        </is>
      </c>
      <c r="B16" t="inlineStr">
        <is>
          <t>T-CAPEX-001</t>
        </is>
      </c>
      <c r="C16" t="inlineStr">
        <is>
          <t>超大规模厂商</t>
        </is>
      </c>
      <c r="D16" t="inlineStr">
        <is>
          <t>AI叙事成立的关键是拆分增量：把AI新增收入、效率提升与资本回报从自然增长中拆出来；两条验证路径=合同订单（未来收入）+基本盘效率（利润池扩大）。</t>
        </is>
      </c>
      <c r="E16" t="inlineStr">
        <is>
          <t>INT-20260916-004</t>
        </is>
      </c>
      <c r="F16" t="inlineStr">
        <is>
          <t>我们的判断（REDoc 4acc55ee核心结论）</t>
        </is>
      </c>
      <c r="G16" t="inlineStr">
        <is>
          <t>DJE Kapital</t>
        </is>
      </c>
      <c r="H16" t="inlineStr">
        <is>
          <t>DJE估算2026年超大规模厂商投资7250亿-8000亿美元，约75%流向AI基础设施。</t>
        </is>
      </c>
      <c r="I16" t="inlineStr">
        <is>
          <t>2026-06-11</t>
        </is>
      </c>
      <c r="K16" t="inlineStr">
        <is>
          <t>四家官方指引</t>
        </is>
      </c>
      <c r="L16" t="inlineStr">
        <is>
          <t>四家2026年Capex指引：Meta 1300-1450亿、Alphabet 1950-2050亿、微软1750亿（2026自然年口径）、Amazon约2200亿美元。</t>
        </is>
      </c>
      <c r="M16" t="inlineStr">
        <is>
          <t>2026-07-29</t>
        </is>
      </c>
      <c r="O16" t="inlineStr">
        <is>
          <t>卖方已验证</t>
        </is>
      </c>
      <c r="P16" t="inlineStr">
        <is>
          <t>微软1750亿为2026自然年口径（会计变更致表面下降），与财年口径不可直接比较。</t>
        </is>
      </c>
      <c r="Q16" t="inlineStr">
        <is>
          <t>禁入结论</t>
        </is>
      </c>
      <c r="R16" t="inlineStr">
        <is>
          <t>0916新增</t>
        </is>
      </c>
      <c r="S16" t="inlineStr">
        <is>
          <t>邢怀天（实习）</t>
        </is>
      </c>
    </row>
    <row r="17">
      <c r="A17" t="inlineStr">
        <is>
          <t>CLM-20260916-016</t>
        </is>
      </c>
      <c r="B17" t="inlineStr">
        <is>
          <t>T-CAPEX-001</t>
        </is>
      </c>
      <c r="C17" t="inlineStr">
        <is>
          <t>超大规模厂商</t>
        </is>
      </c>
      <c r="D17" t="inlineStr">
        <is>
          <t>市场按回报可验证性排序：Amazon最认可＞Microsoft（需求实但ROIC账未摊开）＞Google（全栈+TPU期权）＞Meta（理论ROIC最高但收入证据最少，show-me story）。</t>
        </is>
      </c>
      <c r="E17" t="inlineStr">
        <is>
          <t>INT-20260916-004</t>
        </is>
      </c>
      <c r="F17" t="inlineStr">
        <is>
          <t>我们的判断（REDoc 2f90fe6a核心结论）</t>
        </is>
      </c>
      <c r="G17" t="inlineStr">
        <is>
          <t>GS / MS / JPM</t>
        </is>
      </c>
      <c r="H17" t="inlineStr">
        <is>
          <t>GS估算中国四大厂商（含字节）2026年资本开支年增速超80%；MS预计Google新增算力产能最多；JPM认为TPU外售可能成为重要增量。</t>
        </is>
      </c>
      <c r="I17" t="inlineStr">
        <is>
          <t>2026-08-26</t>
        </is>
      </c>
      <c r="K17" t="inlineStr">
        <is>
          <t>四家官方披露</t>
        </is>
      </c>
      <c r="L17" t="inlineStr">
        <is>
          <t>AWS利润率39%、Azure全年破千亿、Cloud backlog 5140亿、Meta Capex接近上年收入75%。</t>
        </is>
      </c>
      <c r="M17" t="inlineStr">
        <is>
          <t>2026-09-10</t>
        </is>
      </c>
      <c r="O17" t="inlineStr">
        <is>
          <t>卖方已验证</t>
        </is>
      </c>
      <c r="P17" t="inlineStr">
        <is>
          <t>排序为市场观点汇总口径（2f90fe6a），非任何单一机构评级。</t>
        </is>
      </c>
      <c r="Q17" t="inlineStr">
        <is>
          <t>禁入结论</t>
        </is>
      </c>
      <c r="R17" t="inlineStr">
        <is>
          <t>0916新增</t>
        </is>
      </c>
      <c r="S17" t="inlineStr">
        <is>
          <t>邢怀天（实习）</t>
        </is>
      </c>
    </row>
  </sheetData>
  <autoFilter ref="A1:S5"/>
  <conditionalFormatting sqref="O2:O5000">
    <cfRule type="expression" priority="1" dxfId="0">
      <formula>OR($O2="冲突",$O2="孤证")</formula>
    </cfRule>
  </conditionalFormatting>
  <conditionalFormatting sqref="Q2:Q5000">
    <cfRule type="expression" priority="2" dxfId="1">
      <formula>$Q2="可入结论"</formula>
    </cfRule>
  </conditionalFormatting>
  <dataValidations count="3">
    <dataValidation sqref="F2:F5000" showDropDown="0" showInputMessage="0" showErrorMessage="0" allowBlank="1" type="list">
      <formula1>"A,B,C"</formula1>
    </dataValidation>
    <dataValidation sqref="O2:O5000" showDropDown="0" showInputMessage="0" showErrorMessage="0" allowBlank="0" type="list">
      <formula1>"待核验,卖方已验证,官方已锚定,冲突,孤证"</formula1>
    </dataValidation>
    <dataValidation sqref="Q2:Q5000" showDropDown="0" showInputMessage="0" showErrorMessage="0" allowBlank="0" type="list">
      <formula1>"可入结论,禁入结论"</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35"/>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24" customWidth="1" min="4" max="4"/>
    <col width="44" customWidth="1" min="5" max="5"/>
    <col width="16" customWidth="1" min="6" max="6"/>
    <col width="18" customWidth="1" min="7" max="7"/>
    <col width="38" customWidth="1" min="8" max="8"/>
    <col width="52" customWidth="1" min="9" max="9"/>
    <col width="38" customWidth="1" min="10" max="10"/>
    <col width="38" customWidth="1" min="11" max="11"/>
    <col width="30" customWidth="1" min="12" max="12"/>
    <col width="48" customWidth="1" min="13" max="13"/>
    <col width="18" customWidth="1" min="14" max="14"/>
    <col width="36" customWidth="1" min="15" max="15"/>
  </cols>
  <sheetData>
    <row r="1" ht="30" customHeight="1">
      <c r="A1" s="16" t="inlineStr">
        <is>
          <t>研报ID</t>
        </is>
      </c>
      <c r="B1" s="16" t="inlineStr">
        <is>
          <t>机构</t>
        </is>
      </c>
      <c r="C1" s="16" t="inlineStr">
        <is>
          <t>发布日期</t>
        </is>
      </c>
      <c r="D1" s="16" t="inlineStr">
        <is>
          <t>覆盖公司/行业</t>
        </is>
      </c>
      <c r="E1" s="16" t="inlineStr">
        <is>
          <t>标题</t>
        </is>
      </c>
      <c r="F1" s="16" t="inlineStr">
        <is>
          <t>主题编号</t>
        </is>
      </c>
      <c r="G1" s="16" t="inlineStr">
        <is>
          <t>背书主张ID</t>
        </is>
      </c>
      <c r="H1" s="16" t="inlineStr">
        <is>
          <t>回避点</t>
        </is>
      </c>
      <c r="I1" s="16" t="inlineStr">
        <is>
          <t>量化口径</t>
        </is>
      </c>
      <c r="J1" s="16" t="inlineStr">
        <is>
          <t>收入/增速假设</t>
        </is>
      </c>
      <c r="K1" s="16" t="inlineStr">
        <is>
          <t>Capex测算</t>
        </is>
      </c>
      <c r="L1" s="16" t="inlineStr">
        <is>
          <t>目标价/评级变动</t>
        </is>
      </c>
      <c r="M1" s="16" t="inlineStr">
        <is>
          <t>文件定位</t>
        </is>
      </c>
      <c r="N1" s="16" t="inlineStr">
        <is>
          <t>处理状态</t>
        </is>
      </c>
      <c r="O1" s="16" t="inlineStr">
        <is>
          <t>备注</t>
        </is>
      </c>
    </row>
    <row r="2">
      <c r="A2" s="18" t="inlineStr">
        <is>
          <t>RPT-20260916-001</t>
        </is>
      </c>
      <c r="B2" s="18" t="inlineStr">
        <is>
          <t>DJE Kapital</t>
        </is>
      </c>
      <c r="C2" s="18" t="inlineStr">
        <is>
          <t>2026-06-11</t>
        </is>
      </c>
      <c r="D2" s="18" t="inlineStr">
        <is>
          <t>超大规模云厂商</t>
        </is>
      </c>
      <c r="E2" s="18" t="inlineStr">
        <is>
          <t>AI investment and monetisation</t>
        </is>
      </c>
      <c r="F2" s="18" t="inlineStr">
        <is>
          <t>T-CAPEX-001</t>
        </is>
      </c>
      <c r="G2" s="18" t="inlineStr">
        <is>
          <t>CLM-20260916-004</t>
        </is>
      </c>
      <c r="H2" s="18" t="inlineStr">
        <is>
          <t>未拆单家公司回报周期</t>
        </is>
      </c>
      <c r="I2" s="18" t="inlineStr">
        <is>
          <t>合计投资7250亿-8000亿美元；约75%流向AI基础设施</t>
        </is>
      </c>
      <c r="J2" s="18" t="inlineStr">
        <is>
          <t>各公司投入增速</t>
        </is>
      </c>
      <c r="K2" s="18" t="inlineStr">
        <is>
          <t>Meta 1250亿-1450亿；Alphabet 1800亿-1900亿；Amazon约2000亿</t>
        </is>
      </c>
      <c r="L2" s="18" t="inlineStr">
        <is>
          <t>不录评级目标价</t>
        </is>
      </c>
      <c r="M2" s="18" t="inlineStr">
        <is>
          <t>https://www.dje.de/en/markets/ai-investment-and-monetisation-the-technology-sector-is-being-reshaped</t>
        </is>
      </c>
      <c r="N2" s="18" t="inlineStr">
        <is>
          <t>已提取</t>
        </is>
      </c>
      <c r="O2" s="18" t="inlineStr">
        <is>
          <t>网页为投资机构公开观点，待与MS/GS框架交叉核验。</t>
        </is>
      </c>
    </row>
    <row r="3">
      <c r="A3" s="18" t="inlineStr">
        <is>
          <t>RPT-20260916-002</t>
        </is>
      </c>
      <c r="B3" s="18" t="inlineStr">
        <is>
          <t>Morgan Stanley（MS）</t>
        </is>
      </c>
      <c r="C3" s="18" t="inlineStr">
        <is>
          <t>2026-09</t>
        </is>
      </c>
      <c r="D3" s="18" t="inlineStr">
        <is>
          <t>Meta</t>
        </is>
      </c>
      <c r="E3" s="18" t="inlineStr">
        <is>
          <t>Muse商业化观点（转述）</t>
        </is>
      </c>
      <c r="F3" s="18" t="inlineStr">
        <is>
          <t>T-MUSE-001</t>
        </is>
      </c>
      <c r="G3" s="18" t="inlineStr"/>
      <c r="H3" s="18" t="inlineStr"/>
      <c r="I3" s="18" t="inlineStr">
        <is>
          <t>增量商业化价值未计入市场预期（转述口径）</t>
        </is>
      </c>
      <c r="J3" s="18" t="inlineStr"/>
      <c r="K3" s="18" t="inlineStr"/>
      <c r="L3" s="18" t="inlineStr">
        <is>
          <t>不录评级目标价</t>
        </is>
      </c>
      <c r="M3" s="18" t="inlineStr"/>
      <c r="N3" s="18" t="inlineStr">
        <is>
          <t>转述</t>
        </is>
      </c>
      <c r="O3" s="18" t="inlineStr">
        <is>
          <t>据MS观点整理，原文待BBG/Wind取得；按口径不录目标价。 stance=看好</t>
        </is>
      </c>
    </row>
    <row r="4">
      <c r="A4" s="18" t="inlineStr">
        <is>
          <t>RPT-20260916-003</t>
        </is>
      </c>
      <c r="B4" s="18" t="inlineStr">
        <is>
          <t>HyperFRAME Research</t>
        </is>
      </c>
      <c r="C4" s="18" t="inlineStr">
        <is>
          <t>2026-09-09</t>
        </is>
      </c>
      <c r="D4" s="18" t="inlineStr">
        <is>
          <t>Meta</t>
        </is>
      </c>
      <c r="E4" s="18" t="inlineStr">
        <is>
          <t>Muse竞争与信任观点（转述）</t>
        </is>
      </c>
      <c r="F4" s="18" t="inlineStr">
        <is>
          <t>T-MUSE-001</t>
        </is>
      </c>
      <c r="G4" s="18" t="inlineStr"/>
      <c r="H4" s="18" t="inlineStr"/>
      <c r="I4" s="18" t="inlineStr">
        <is>
          <t>优势在分发；信任是更难的问题：权限控制、批准时机、错误挽回</t>
        </is>
      </c>
      <c r="J4" s="18" t="inlineStr"/>
      <c r="K4" s="18" t="inlineStr"/>
      <c r="L4" s="18" t="inlineStr">
        <is>
          <t>不录评级目标价</t>
        </is>
      </c>
      <c r="M4" s="18" t="inlineStr">
        <is>
          <t>https://techstrong.ai/agentic-ai/meta-launches-muse-an-autonomous-ai-agent-built-to-handle-real-world-tasks/</t>
        </is>
      </c>
      <c r="N4" s="18" t="inlineStr">
        <is>
          <t>转述</t>
        </is>
      </c>
      <c r="O4" s="18" t="inlineStr">
        <is>
          <t>分析师Stephanie Walter公开评论，据techstrong.ai报道转述。 stance=看空/谨慎</t>
        </is>
      </c>
    </row>
    <row r="5">
      <c r="A5" t="inlineStr">
        <is>
          <t>RPT-20260916-002</t>
        </is>
      </c>
      <c r="B5" t="inlineStr">
        <is>
          <t>Citi（花旗）</t>
        </is>
      </c>
      <c r="C5" t="inlineStr">
        <is>
          <t>2026-08-12</t>
        </is>
      </c>
      <c r="D5" t="inlineStr">
        <is>
          <t>腾讯</t>
        </is>
      </c>
      <c r="E5" t="inlineStr">
        <is>
          <t>核心业务韧性凸显，AI应用成效显现</t>
        </is>
      </c>
      <c r="F5" t="inlineStr">
        <is>
          <t>T-CN-001</t>
        </is>
      </c>
      <c r="H5" t="inlineStr">
        <is>
          <t>据砺石商业评论转述（2026-08-20）；按口径不录目标价</t>
        </is>
      </c>
      <c r="I5" t="inlineStr">
        <is>
          <t>广告+22%、本土游戏+17%</t>
        </is>
      </c>
      <c r="L5" t="inlineStr">
        <is>
          <t>转述</t>
        </is>
      </c>
      <c r="M5" t="inlineStr">
        <is>
          <t>已录入</t>
        </is>
      </c>
      <c r="N5" t="inlineStr">
        <is>
          <t>口径=媒体转述</t>
        </is>
      </c>
    </row>
    <row r="6">
      <c r="A6" t="inlineStr">
        <is>
          <t>RPT-20260916-003</t>
        </is>
      </c>
      <c r="B6" t="inlineStr">
        <is>
          <t>Morgan Stanley（MS）</t>
        </is>
      </c>
      <c r="C6" t="inlineStr">
        <is>
          <t>2026-08-12</t>
        </is>
      </c>
      <c r="D6" t="inlineStr">
        <is>
          <t>腾讯</t>
        </is>
      </c>
      <c r="E6" t="inlineStr">
        <is>
          <t>担忧2026下半年至2027年盈利可能陷入持平</t>
        </is>
      </c>
      <c r="F6" t="inlineStr">
        <is>
          <t>T-CN-001</t>
        </is>
      </c>
      <c r="H6" t="inlineStr">
        <is>
          <t>据砺石商业评论转述（2026-08-20）；按口径不录目标价</t>
        </is>
      </c>
      <c r="I6" t="inlineStr">
        <is>
          <t>Capex 527.8亿+176%；FCF -138亿</t>
        </is>
      </c>
      <c r="L6" t="inlineStr">
        <is>
          <t>转述</t>
        </is>
      </c>
      <c r="M6" t="inlineStr">
        <is>
          <t>已录入</t>
        </is>
      </c>
      <c r="N6" t="inlineStr">
        <is>
          <t>口径=媒体转述</t>
        </is>
      </c>
    </row>
    <row r="7">
      <c r="A7" t="inlineStr">
        <is>
          <t>RPT-20260916-004</t>
        </is>
      </c>
      <c r="B7" t="inlineStr">
        <is>
          <t>Jefferies（杰富瑞）</t>
        </is>
      </c>
      <c r="C7" t="inlineStr">
        <is>
          <t>2026-08-21</t>
        </is>
      </c>
      <c r="D7" t="inlineStr">
        <is>
          <t>快手</t>
        </is>
      </c>
      <c r="E7" t="inlineStr">
        <is>
          <t>MiniMax H3性价比巩固AI影片生成竞争地位，加剧可灵外部竞争</t>
        </is>
      </c>
      <c r="F7" t="inlineStr">
        <is>
          <t>T-CN-001</t>
        </is>
      </c>
      <c r="H7" t="inlineStr">
        <is>
          <t>据界面新闻转述（2026-08-21）</t>
        </is>
      </c>
      <c r="I7" t="inlineStr">
        <is>
          <t>可灵Q2收入超8.5亿</t>
        </is>
      </c>
      <c r="L7" t="inlineStr">
        <is>
          <t>转述</t>
        </is>
      </c>
      <c r="M7" t="inlineStr">
        <is>
          <t>已录入</t>
        </is>
      </c>
      <c r="N7" t="inlineStr">
        <is>
          <t>口径=媒体转述</t>
        </is>
      </c>
    </row>
    <row r="8">
      <c r="A8" t="inlineStr">
        <is>
          <t>RPT-20260916-005</t>
        </is>
      </c>
      <c r="B8" t="inlineStr">
        <is>
          <t>Goldman Sachs（GS）</t>
        </is>
      </c>
      <c r="C8" t="inlineStr">
        <is>
          <t>2026-08-26</t>
        </is>
      </c>
      <c r="D8" t="inlineStr">
        <is>
          <t>中国四大厂商（行业）</t>
        </is>
      </c>
      <c r="E8" t="inlineStr">
        <is>
          <t>估算2026年资本开支年增速超80%</t>
        </is>
      </c>
      <c r="F8" t="inlineStr">
        <is>
          <t>T-CN-001</t>
        </is>
      </c>
      <c r="H8" t="inlineStr">
        <is>
          <t>据金融投资报转述（2026-08-26）</t>
        </is>
      </c>
      <c r="I8" t="inlineStr">
        <is>
          <t>含字节</t>
        </is>
      </c>
      <c r="L8" t="inlineStr">
        <is>
          <t>转述</t>
        </is>
      </c>
      <c r="M8" t="inlineStr">
        <is>
          <t>已录入</t>
        </is>
      </c>
      <c r="N8" t="inlineStr">
        <is>
          <t>口径=媒体转述</t>
        </is>
      </c>
    </row>
    <row r="9">
      <c r="A9" t="inlineStr">
        <is>
          <t>RPT-20260916-008</t>
        </is>
      </c>
      <c r="B9" t="inlineStr">
        <is>
          <t>Goldman Sachs（GS）</t>
        </is>
      </c>
      <c r="C9" t="inlineStr">
        <is>
          <t>2026-07-23</t>
        </is>
      </c>
      <c r="D9" t="inlineStr">
        <is>
          <t>Google</t>
        </is>
      </c>
      <c r="E9" t="inlineStr">
        <is>
          <t>Alphabet Q2’26 Review: The AI Investment Cycle Proceeds Upward</t>
        </is>
      </c>
      <c r="F9" t="inlineStr">
        <is>
          <t>T-CAPEX-001</t>
        </is>
      </c>
      <c r="G9" t="inlineStr">
        <is>
          <t>—</t>
        </is>
      </c>
      <c r="H9" t="inlineStr">
        <is>
          <t>未拆AI查询单次经济性</t>
        </is>
      </c>
      <c r="I9" t="inlineStr">
        <is>
          <t>2026E收入4,330亿美元（+26.3%），较前次上修约97亿</t>
        </is>
      </c>
      <c r="J9" t="inlineStr">
        <is>
          <t>2026E +26.3% / 2027E +26.8%</t>
        </is>
      </c>
      <c r="K9" t="inlineStr">
        <is>
          <t>Capex与D&amp;A路径随云上修</t>
        </is>
      </c>
      <c r="L9" t="inlineStr">
        <is>
          <t>不录评级目标价</t>
        </is>
      </c>
      <c r="M9" t="inlineStr">
        <is>
          <t>私有库存档（未随仓库分发）</t>
        </is>
      </c>
      <c r="N9" t="inlineStr">
        <is>
          <t>已提取</t>
        </is>
      </c>
      <c r="O9" t="inlineStr">
        <is>
          <t>另有重复版本[15]链接（内容相同）</t>
        </is>
      </c>
    </row>
    <row r="10">
      <c r="A10" t="inlineStr">
        <is>
          <t>RPT-20260916-009</t>
        </is>
      </c>
      <c r="B10" t="inlineStr">
        <is>
          <t>Goldman Sachs（GS）</t>
        </is>
      </c>
      <c r="C10" t="inlineStr">
        <is>
          <t>2026-08-10</t>
        </is>
      </c>
      <c r="D10" t="inlineStr">
        <is>
          <t>Google</t>
        </is>
      </c>
      <c r="E10" t="inlineStr">
        <is>
          <t>Did Alphabet Just Signal a Shift in its AI Strategy?</t>
        </is>
      </c>
      <c r="F10" t="inlineStr">
        <is>
          <t>T-AIO-001</t>
        </is>
      </c>
      <c r="G10" t="inlineStr">
        <is>
          <t>—</t>
        </is>
      </c>
      <c r="H10" t="inlineStr">
        <is>
          <t>未量化战略转移对云/TPU影响</t>
        </is>
      </c>
      <c r="I10" t="inlineStr">
        <is>
          <t>定性：分发（企业+消费端算力）+变现策略为持久优势</t>
        </is>
      </c>
      <c r="J10" t="inlineStr">
        <is>
          <t>—</t>
        </is>
      </c>
      <c r="K10" t="inlineStr">
        <is>
          <t>—</t>
        </is>
      </c>
      <c r="L10" t="inlineStr">
        <is>
          <t>不录评级目标价</t>
        </is>
      </c>
      <c r="M10" t="inlineStr">
        <is>
          <t>私有库存档（未随仓库分发）</t>
        </is>
      </c>
      <c r="N10" t="inlineStr">
        <is>
          <t>已提取</t>
        </is>
      </c>
      <c r="O10" t="inlineStr">
        <is>
          <t>另有重复版本[90]（内容相同）</t>
        </is>
      </c>
    </row>
    <row r="11">
      <c r="A11" t="inlineStr">
        <is>
          <t>RPT-20260916-010</t>
        </is>
      </c>
      <c r="B11" t="inlineStr">
        <is>
          <t>Goldman Sachs（GS）</t>
        </is>
      </c>
      <c r="C11" t="inlineStr">
        <is>
          <t>2026-08-13</t>
        </is>
      </c>
      <c r="D11" t="inlineStr">
        <is>
          <t>Google</t>
        </is>
      </c>
      <c r="E11" t="inlineStr">
        <is>
          <t>Made by Google 2026: Scaling Gemini Intelligence Across a Resilient Hardware Ecosystem</t>
        </is>
      </c>
      <c r="F11" t="inlineStr">
        <is>
          <t>T-AIO-001</t>
        </is>
      </c>
      <c r="G11" t="inlineStr">
        <is>
          <t>—</t>
        </is>
      </c>
      <c r="H11" t="inlineStr">
        <is>
          <t>设备端AI向广告/云的传导未量化</t>
        </is>
      </c>
      <c r="I11" t="inlineStr">
        <is>
          <t>Pixel 11：Gemini Intelligence（多步任务/预订/主动助理）+端侧Gemini Nano 4</t>
        </is>
      </c>
      <c r="J11" t="inlineStr">
        <is>
          <t>—</t>
        </is>
      </c>
      <c r="K11" t="inlineStr">
        <is>
          <t>—</t>
        </is>
      </c>
      <c r="L11" t="inlineStr">
        <is>
          <t>不录评级目标价</t>
        </is>
      </c>
      <c r="M11" t="inlineStr">
        <is>
          <t>私有库存档（未随仓库分发）</t>
        </is>
      </c>
      <c r="N11" t="inlineStr">
        <is>
          <t>已提取</t>
        </is>
      </c>
      <c r="O11" t="inlineStr">
        <is>
          <t>注意：文件名带MS实为GS报告；另有重复版本[10]</t>
        </is>
      </c>
    </row>
    <row r="12">
      <c r="A12" t="inlineStr">
        <is>
          <t>RPT-20260916-011</t>
        </is>
      </c>
      <c r="B12" t="inlineStr">
        <is>
          <t>Goldman Sachs（GS）</t>
        </is>
      </c>
      <c r="C12" t="inlineStr">
        <is>
          <t>2026-08-26</t>
        </is>
      </c>
      <c r="D12" t="inlineStr">
        <is>
          <t>Meta</t>
        </is>
      </c>
      <c r="E12" t="inlineStr">
        <is>
          <t>Social Media Lawsuit Overhang Reduced With Settlement</t>
        </is>
      </c>
      <c r="F12" t="inlineStr">
        <is>
          <t>T-VAL-001</t>
        </is>
      </c>
      <c r="G12" t="inlineStr">
        <is>
          <t>—</t>
        </is>
      </c>
      <c r="H12" t="inlineStr">
        <is>
          <t>罚金现金流影响未单列</t>
        </is>
      </c>
      <c r="I12" t="inlineStr">
        <is>
          <t>和解=已知财务罚金+青少年安全要求与产品调整明确化</t>
        </is>
      </c>
      <c r="J12" t="inlineStr">
        <is>
          <t>—</t>
        </is>
      </c>
      <c r="K12" t="inlineStr">
        <is>
          <t>—</t>
        </is>
      </c>
      <c r="L12" t="inlineStr">
        <is>
          <t>不录评级目标价</t>
        </is>
      </c>
      <c r="M12" t="inlineStr">
        <is>
          <t>私有库存档（未随仓库分发）</t>
        </is>
      </c>
      <c r="N12" t="inlineStr">
        <is>
          <t>已提取</t>
        </is>
      </c>
      <c r="O12" t="inlineStr">
        <is>
          <t>GS报告（文件名未带机构前缀）</t>
        </is>
      </c>
    </row>
    <row r="13">
      <c r="A13" t="inlineStr">
        <is>
          <t>RPT-20260916-012</t>
        </is>
      </c>
      <c r="B13" t="inlineStr">
        <is>
          <t>Morgan Stanley（MS）</t>
        </is>
      </c>
      <c r="C13" t="inlineStr">
        <is>
          <t>2026-08-30</t>
        </is>
      </c>
      <c r="D13" t="inlineStr">
        <is>
          <t>Meta</t>
        </is>
      </c>
      <c r="E13" t="inlineStr">
        <is>
          <t>Could META Now Become GOOGL of 2H:25?</t>
        </is>
      </c>
      <c r="F13" t="inlineStr">
        <is>
          <t>T-MUSE-001</t>
        </is>
      </c>
      <c r="G13" t="inlineStr">
        <is>
          <t>—</t>
        </is>
      </c>
      <c r="H13" t="inlineStr">
        <is>
          <t>产品管线收入贡献无官方锚</t>
        </is>
      </c>
      <c r="I13" t="inlineStr">
        <is>
          <t>和解最高约170亿美元/10年+青少年2小时限制；Hatch或数周内、Watermelon瞄准10月、Meta Connect 25天后</t>
        </is>
      </c>
      <c r="J13" t="inlineStr">
        <is>
          <t>—</t>
        </is>
      </c>
      <c r="K13" t="inlineStr">
        <is>
          <t>—</t>
        </is>
      </c>
      <c r="L13" t="inlineStr">
        <is>
          <t>不录评级目标价</t>
        </is>
      </c>
      <c r="M13" t="inlineStr">
        <is>
          <t>私有库存档（未随仓库分发）</t>
        </is>
      </c>
      <c r="N13" t="inlineStr">
        <is>
          <t>已提取</t>
        </is>
      </c>
      <c r="O13" t="inlineStr">
        <is>
          <t>与Muse催化时间线（Watermelon 9月底-10月/Connect 9-23）互证</t>
        </is>
      </c>
    </row>
    <row r="14">
      <c r="A14" t="inlineStr">
        <is>
          <t>RPT-20260916-013</t>
        </is>
      </c>
      <c r="B14" t="inlineStr">
        <is>
          <t>Morgan Stanley（MS）</t>
        </is>
      </c>
      <c r="C14" t="inlineStr">
        <is>
          <t>2026-07-27</t>
        </is>
      </c>
      <c r="D14" t="inlineStr">
        <is>
          <t>微软/行业</t>
        </is>
      </c>
      <c r="E14" t="inlineStr">
        <is>
          <t>Foundation Internet North America: The Paths to 25-50% GenAI ROIC</t>
        </is>
      </c>
      <c r="F14" t="inlineStr">
        <is>
          <t>T-CAPEX-001</t>
        </is>
      </c>
      <c r="G14" t="inlineStr">
        <is>
          <t>—</t>
        </is>
      </c>
      <c r="H14" t="inlineStr">
        <is>
          <t>三口径勿跨模式直接排序</t>
        </is>
      </c>
      <c r="I14" t="inlineStr">
        <is>
          <t>三大经营模式增量单位经济性具吸引力；1GW GB300租赁模型收入/成本/NOPAT逐项测算</t>
        </is>
      </c>
      <c r="J14" t="inlineStr">
        <is>
          <t>—</t>
        </is>
      </c>
      <c r="K14" t="inlineStr">
        <is>
          <t>ROIC路径25-50%</t>
        </is>
      </c>
      <c r="L14" t="inlineStr">
        <is>
          <t>不录评级目标价</t>
        </is>
      </c>
      <c r="M14" t="inlineStr">
        <is>
          <t>私有库存档（未随仓库分发）</t>
        </is>
      </c>
      <c r="N14" t="inlineStr">
        <is>
          <t>已提取</t>
        </is>
      </c>
      <c r="O14" t="inlineStr">
        <is>
          <t>作者Brian Nowak/Stephen Byrd/Adam Wood；与Guidebook三口径（31%/46%/25%）同源</t>
        </is>
      </c>
    </row>
    <row r="15">
      <c r="A15" t="inlineStr">
        <is>
          <t>RPT-20260916-014</t>
        </is>
      </c>
      <c r="B15" t="inlineStr">
        <is>
          <t>Deutsche Bank（DB）</t>
        </is>
      </c>
      <c r="C15" t="inlineStr">
        <is>
          <t>2026-06-03</t>
        </is>
      </c>
      <c r="D15" t="inlineStr">
        <is>
          <t>Microsoft</t>
        </is>
      </c>
      <c r="E15" t="inlineStr">
        <is>
          <t>Build 2026: Full Stack Ahead</t>
        </is>
      </c>
      <c r="G15" t="inlineStr">
        <is>
          <t>—</t>
        </is>
      </c>
      <c r="H15" t="inlineStr">
        <is>
          <t>agent变现量化口径待跟踪</t>
        </is>
      </c>
      <c r="I15" t="inlineStr">
        <is>
          <t>为agent接入全网新鲜高质量外部上下文</t>
        </is>
      </c>
      <c r="J15" t="inlineStr">
        <is>
          <t>—</t>
        </is>
      </c>
      <c r="K15" t="inlineStr">
        <is>
          <t>—</t>
        </is>
      </c>
      <c r="L15" t="inlineStr">
        <is>
          <t>—</t>
        </is>
      </c>
      <c r="M15" t="inlineStr">
        <is>
          <t>私有库存档（未随仓库分发）</t>
        </is>
      </c>
      <c r="N15" t="inlineStr">
        <is>
          <t>已提取</t>
        </is>
      </c>
      <c r="O15" t="inlineStr">
        <is>
          <t>Distributed 03/06/2026（DD/MM）</t>
        </is>
      </c>
    </row>
    <row r="16">
      <c r="A16" t="inlineStr">
        <is>
          <t>RPT-20260916-015</t>
        </is>
      </c>
      <c r="B16" t="inlineStr">
        <is>
          <t>Deutsche Bank（DB）</t>
        </is>
      </c>
      <c r="C16" t="inlineStr">
        <is>
          <t>2026-07-19</t>
        </is>
      </c>
      <c r="D16" t="inlineStr">
        <is>
          <t>Microsoft</t>
        </is>
      </c>
      <c r="E16" t="inlineStr">
        <is>
          <t>F4Q Preview: Capex &amp; ROIC</t>
        </is>
      </c>
      <c r="F16" t="inlineStr">
        <is>
          <t>T-CAPEX-001</t>
        </is>
      </c>
      <c r="G16" t="inlineStr">
        <is>
          <t>—</t>
        </is>
      </c>
      <c r="H16" t="inlineStr">
        <is>
          <t>ROIC测算待F4Q实际值复核</t>
        </is>
      </c>
      <c r="I16" t="inlineStr">
        <is>
          <t>OpenAI占backlog约45%（集中度风险，近前沿开源采用上升）</t>
        </is>
      </c>
      <c r="J16" t="inlineStr">
        <is>
          <t>—</t>
        </is>
      </c>
      <c r="K16" t="inlineStr">
        <is>
          <t>AI投资ROIC具吸引力但低于历史软件驱动水平</t>
        </is>
      </c>
      <c r="L16" t="inlineStr">
        <is>
          <t>—</t>
        </is>
      </c>
      <c r="M16" t="inlineStr">
        <is>
          <t>私有库存档（未随仓库分发）</t>
        </is>
      </c>
      <c r="N16" t="inlineStr">
        <is>
          <t>已提取</t>
        </is>
      </c>
      <c r="O16" t="inlineStr">
        <is>
          <t>Distributed 19/07/2026</t>
        </is>
      </c>
    </row>
    <row r="17">
      <c r="A17" t="inlineStr">
        <is>
          <t>RPT-20260916-016</t>
        </is>
      </c>
      <c r="B17" t="inlineStr">
        <is>
          <t>UBS</t>
        </is>
      </c>
      <c r="C17" t="inlineStr">
        <is>
          <t>2026-07-30</t>
        </is>
      </c>
      <c r="D17" t="inlineStr">
        <is>
          <t>Microsoft</t>
        </is>
      </c>
      <c r="E17" t="inlineStr">
        <is>
          <t>Winning Formula – Azure Estimates Up, Capex Reaffirmed</t>
        </is>
      </c>
      <c r="F17" t="inlineStr">
        <is>
          <t>T-CAPEX-001</t>
        </is>
      </c>
      <c r="G17" t="inlineStr">
        <is>
          <t>—</t>
        </is>
      </c>
      <c r="H17" t="inlineStr">
        <is>
          <t>会计变更对capex口径影响待拆</t>
        </is>
      </c>
      <c r="I17" t="inlineStr">
        <is>
          <t>Azure 4Q cc +43%（1Q指引45%超预期）；新增1.0GW提前投产；核心企业需求稳健</t>
        </is>
      </c>
      <c r="J17" t="inlineStr">
        <is>
          <t>Azure增速上修</t>
        </is>
      </c>
      <c r="K17" t="inlineStr">
        <is>
          <t>CY26 capex重申（剔除会计变更）</t>
        </is>
      </c>
      <c r="L17" t="inlineStr">
        <is>
          <t>—</t>
        </is>
      </c>
      <c r="M17" t="inlineStr">
        <is>
          <t>私有库存档（未随仓库分发）</t>
        </is>
      </c>
      <c r="N17" t="inlineStr">
        <is>
          <t>已提取</t>
        </is>
      </c>
      <c r="O17" t="inlineStr">
        <is>
          <t>—</t>
        </is>
      </c>
    </row>
    <row r="18">
      <c r="A18" t="inlineStr">
        <is>
          <t>RPT-20260916-017</t>
        </is>
      </c>
      <c r="B18" t="inlineStr">
        <is>
          <t>Deutsche Bank（DB）</t>
        </is>
      </c>
      <c r="C18" t="inlineStr">
        <is>
          <t>2026-07-30</t>
        </is>
      </c>
      <c r="D18" t="inlineStr">
        <is>
          <t>Microsoft</t>
        </is>
      </c>
      <c r="E18" t="inlineStr">
        <is>
          <t>F4Q: Harnessing the Power of AI</t>
        </is>
      </c>
      <c r="F18" t="inlineStr">
        <is>
          <t>T-CAPEX-001</t>
        </is>
      </c>
      <c r="G18" t="inlineStr">
        <is>
          <t>—</t>
        </is>
      </c>
      <c r="H18" t="inlineStr">
        <is>
          <t>—</t>
        </is>
      </c>
      <c r="I18" t="inlineStr">
        <is>
          <t>全栈AI变现日益可见；OpEx +10%主因研发算力</t>
        </is>
      </c>
      <c r="J18" t="inlineStr">
        <is>
          <t>Azure与M365加速</t>
        </is>
      </c>
      <c r="K18" t="inlineStr">
        <is>
          <t>经营利润率韧性</t>
        </is>
      </c>
      <c r="L18" t="inlineStr">
        <is>
          <t>—</t>
        </is>
      </c>
      <c r="M18" t="inlineStr">
        <is>
          <t>私有库存档（未随仓库分发）</t>
        </is>
      </c>
      <c r="N18" t="inlineStr">
        <is>
          <t>已提取</t>
        </is>
      </c>
      <c r="O18" t="inlineStr">
        <is>
          <t>Distributed 30/07/2026（文件名0806为上传日期）</t>
        </is>
      </c>
    </row>
    <row r="19">
      <c r="A19" t="inlineStr">
        <is>
          <t>RPT-20260916-018</t>
        </is>
      </c>
      <c r="B19" t="inlineStr">
        <is>
          <t>Barclays（巴克莱）</t>
        </is>
      </c>
      <c r="C19" t="inlineStr">
        <is>
          <t>2026-08-05</t>
        </is>
      </c>
      <c r="D19" t="inlineStr">
        <is>
          <t>Microsoft</t>
        </is>
      </c>
      <c r="E19" t="inlineStr">
        <is>
          <t>4Q26 Recap: Azure and Office Acceleration Create Better Outlook</t>
        </is>
      </c>
      <c r="F19" t="inlineStr">
        <is>
          <t>T-CAPEX-001</t>
        </is>
      </c>
      <c r="G19" t="inlineStr">
        <is>
          <t>—</t>
        </is>
      </c>
      <c r="H19" t="inlineStr">
        <is>
          <t>—</t>
        </is>
      </c>
      <c r="I19" t="inlineStr">
        <is>
          <t>组件涨价压制FY27毛利率；Windows OEM与设备1Q27约-20%（low-20s）</t>
        </is>
      </c>
      <c r="J19" t="inlineStr">
        <is>
          <t>—</t>
        </is>
      </c>
      <c r="K19" t="inlineStr">
        <is>
          <t>capex展望不变</t>
        </is>
      </c>
      <c r="L19" t="inlineStr">
        <is>
          <t>—</t>
        </is>
      </c>
      <c r="M19" t="inlineStr">
        <is>
          <t>私有库存档（未随仓库分发）</t>
        </is>
      </c>
      <c r="N19" t="inlineStr">
        <is>
          <t>已提取</t>
        </is>
      </c>
      <c r="O19" t="inlineStr">
        <is>
          <t>首次下载链接误配已废弃，以本链接为准</t>
        </is>
      </c>
    </row>
    <row r="20">
      <c r="A20" t="inlineStr">
        <is>
          <t>RPT-20260916-019</t>
        </is>
      </c>
      <c r="B20" t="inlineStr">
        <is>
          <t>JPMorgan（JPM）</t>
        </is>
      </c>
      <c r="C20" t="inlineStr">
        <is>
          <t>2026-08-13</t>
        </is>
      </c>
      <c r="D20" t="inlineStr">
        <is>
          <t>Microsoft</t>
        </is>
      </c>
      <c r="E20" t="inlineStr">
        <is>
          <t>Acceleration in AI Infra and Copilot, Along with Balanced Mix</t>
        </is>
      </c>
      <c r="F20" t="inlineStr">
        <is>
          <t>T-CAPEX-001</t>
        </is>
      </c>
      <c r="G20" t="inlineStr">
        <is>
          <t>—</t>
        </is>
      </c>
      <c r="H20" t="inlineStr">
        <is>
          <t>—</t>
        </is>
      </c>
      <c r="I20" t="inlineStr">
        <is>
          <t>Azure与M365商业云双加速；FY27E FCF指引限制外部融资需求</t>
        </is>
      </c>
      <c r="J20" t="inlineStr">
        <is>
          <t>两业务增速双升</t>
        </is>
      </c>
      <c r="K20" t="inlineStr">
        <is>
          <t>AI基建为共同驱动</t>
        </is>
      </c>
      <c r="L20" t="inlineStr">
        <is>
          <t>不录评级目标价（原文含Dec-27 PT）</t>
        </is>
      </c>
      <c r="M20" t="inlineStr">
        <is>
          <t>私有库存档（未随仓库分发）</t>
        </is>
      </c>
      <c r="N20" t="inlineStr">
        <is>
          <t>已提取</t>
        </is>
      </c>
      <c r="O20" t="inlineStr">
        <is>
          <t>Samik Chatterjee团队</t>
        </is>
      </c>
    </row>
    <row r="21">
      <c r="A21" t="inlineStr">
        <is>
          <t>RPT-20260916-020</t>
        </is>
      </c>
      <c r="B21" t="inlineStr">
        <is>
          <t>Goldman Sachs（GS）</t>
        </is>
      </c>
      <c r="C21" t="inlineStr">
        <is>
          <t>2026-08-28</t>
        </is>
      </c>
      <c r="D21" t="inlineStr">
        <is>
          <t>行业（美国互联网）</t>
        </is>
      </c>
      <c r="E21" t="inlineStr">
        <is>
          <t>Americas Technology: Internet Q2’26 EPS Review &amp; Communacopia Preview</t>
        </is>
      </c>
      <c r="F21" t="inlineStr">
        <is>
          <t>T-CAPEX-001</t>
        </is>
      </c>
      <c r="G21" t="inlineStr">
        <is>
          <t>—</t>
        </is>
      </c>
      <c r="H21" t="inlineStr">
        <is>
          <t>供需失衡持续时长为估算</t>
        </is>
      </c>
      <c r="I21" t="inlineStr">
        <is>
          <t>算力供需失衡预计持续至2028年以后；capex三要素支撑</t>
        </is>
      </c>
      <c r="J21" t="inlineStr">
        <is>
          <t>云/AI收入增速上修周期</t>
        </is>
      </c>
      <c r="K21" t="inlineStr">
        <is>
          <t>—</t>
        </is>
      </c>
      <c r="L21" t="inlineStr">
        <is>
          <t>—</t>
        </is>
      </c>
      <c r="M21" t="inlineStr">
        <is>
          <t>私有库存档（未随仓库分发）</t>
        </is>
      </c>
      <c r="N21" t="inlineStr">
        <is>
          <t>已提取</t>
        </is>
      </c>
      <c r="O21" t="inlineStr">
        <is>
          <t>英文原版50页</t>
        </is>
      </c>
    </row>
    <row r="22">
      <c r="A22" t="inlineStr">
        <is>
          <t>RPT-20260916-021</t>
        </is>
      </c>
      <c r="B22" t="inlineStr">
        <is>
          <t>Goldman Sachs（GS）</t>
        </is>
      </c>
      <c r="C22" t="inlineStr">
        <is>
          <t>2026-08-28</t>
        </is>
      </c>
      <c r="D22" t="inlineStr">
        <is>
          <t>行业（美国互联网）</t>
        </is>
      </c>
      <c r="E22" t="inlineStr">
        <is>
          <t>同上（中文译版）</t>
        </is>
      </c>
      <c r="F22" t="inlineStr">
        <is>
          <t>T-CAPEX-001</t>
        </is>
      </c>
      <c r="G22" t="inlineStr">
        <is>
          <t>—</t>
        </is>
      </c>
      <c r="H22" t="inlineStr">
        <is>
          <t>同上</t>
        </is>
      </c>
      <c r="I22" t="inlineStr">
        <is>
          <t>同上</t>
        </is>
      </c>
      <c r="J22" t="inlineStr">
        <is>
          <t>—</t>
        </is>
      </c>
      <c r="K22" t="inlineStr">
        <is>
          <t>—</t>
        </is>
      </c>
      <c r="L22" t="inlineStr">
        <is>
          <t>—</t>
        </is>
      </c>
      <c r="M22" t="inlineStr">
        <is>
          <t>私有库存档（未随仓库分发）</t>
        </is>
      </c>
      <c r="N22" t="inlineStr">
        <is>
          <t>重复版本</t>
        </is>
      </c>
      <c r="O22" t="inlineStr">
        <is>
          <t>中文译版24MB，抽取以英文版为准</t>
        </is>
      </c>
    </row>
    <row r="23">
      <c r="A23" t="inlineStr">
        <is>
          <t>RPT-20260916-022</t>
        </is>
      </c>
      <c r="B23" t="inlineStr">
        <is>
          <t>Barclays（巴克莱）</t>
        </is>
      </c>
      <c r="C23" t="inlineStr">
        <is>
          <t>2026-08-28</t>
        </is>
      </c>
      <c r="D23" t="inlineStr">
        <is>
          <t>行业（美国互联网）</t>
        </is>
      </c>
      <c r="E23" t="inlineStr">
        <is>
          <t>A Primer on AI Lab &amp; AI Hyperscaler Unit Economics</t>
        </is>
      </c>
      <c r="F23" t="inlineStr">
        <is>
          <t>T-CAPEX-001</t>
        </is>
      </c>
      <c r="G23" t="inlineStr">
        <is>
          <t>—</t>
        </is>
      </c>
      <c r="H23" t="inlineStr">
        <is>
          <t>两套单位GW口径待逐表核对</t>
        </is>
      </c>
      <c r="I23" t="inlineStr">
        <is>
          <t>AI实验室单位经济性2026较2025大幅改善；API/企业账户推理利润率更高</t>
        </is>
      </c>
      <c r="J23" t="inlineStr">
        <is>
          <t>—</t>
        </is>
      </c>
      <c r="K23" t="inlineStr">
        <is>
          <t>—</t>
        </is>
      </c>
      <c r="L23" t="inlineStr">
        <is>
          <t>—</t>
        </is>
      </c>
      <c r="M23" t="inlineStr">
        <is>
          <t>私有库存档（未随仓库分发）</t>
        </is>
      </c>
      <c r="N23" t="inlineStr">
        <is>
          <t>已提取</t>
        </is>
      </c>
      <c r="O23" t="inlineStr">
        <is>
          <t>疑为150亿+/GW与~500亿/GW口径字源，待逐表核对</t>
        </is>
      </c>
    </row>
    <row r="24">
      <c r="A24" t="inlineStr">
        <is>
          <t>RPT-20260916-023</t>
        </is>
      </c>
      <c r="B24" t="inlineStr">
        <is>
          <t>中金公司（CICC）</t>
        </is>
      </c>
      <c r="C24" t="inlineStr">
        <is>
          <t>2026-09-05</t>
        </is>
      </c>
      <c r="D24" t="inlineStr">
        <is>
          <t>行业中国（广告）</t>
        </is>
      </c>
      <c r="E24" t="inlineStr">
        <is>
          <t>广告行业2Q26回顾：增长降速，关注宏观回暖节奏</t>
        </is>
      </c>
      <c r="F24" t="inlineStr">
        <is>
          <t>T-ADS-001</t>
        </is>
      </c>
      <c r="G24" t="inlineStr">
        <is>
          <t>—</t>
        </is>
      </c>
      <c r="H24" t="inlineStr">
        <is>
          <t>个股层面覆盖有限</t>
        </is>
      </c>
      <c r="I24" t="inlineStr">
        <is>
          <t>国内上市公司广告收入增长降速；社零回落压制投放；多消费类目投放费用下降</t>
        </is>
      </c>
      <c r="J24" t="inlineStr">
        <is>
          <t>—</t>
        </is>
      </c>
      <c r="K24" t="inlineStr">
        <is>
          <t>—</t>
        </is>
      </c>
      <c r="L24" t="inlineStr">
        <is>
          <t>含个股评级目标价（仅存档不采信）</t>
        </is>
      </c>
      <c r="M24" t="inlineStr">
        <is>
          <t>私有库存档（未随仓库分发）</t>
        </is>
      </c>
      <c r="N24" t="inlineStr">
        <is>
          <t>已提取</t>
        </is>
      </c>
      <c r="O24" t="inlineStr">
        <is>
          <t>张雪晴/余歆瑶/曹嘉扬；快手-H等个股在覆盖表</t>
        </is>
      </c>
    </row>
    <row r="25">
      <c r="A25" t="inlineStr">
        <is>
          <t>PUB-GS-260825A</t>
        </is>
      </c>
      <c r="B25" t="inlineStr">
        <is>
          <t>Goldman Sachs（GS）</t>
        </is>
      </c>
      <c r="C25" t="inlineStr">
        <is>
          <t>2026-08-25</t>
        </is>
      </c>
      <c r="D25" t="inlineStr">
        <is>
          <t>行业/阿里/腾讯</t>
        </is>
      </c>
      <c r="E25" t="inlineStr">
        <is>
          <t>中国半导体国产化进程持续推进</t>
        </is>
      </c>
      <c r="F25" t="inlineStr">
        <is>
          <t>T-CAPEX-001</t>
        </is>
      </c>
      <c r="H25" t="inlineStr">
        <is>
          <t>评级与目标价未录（转述口径无原文）</t>
        </is>
      </c>
      <c r="I25" t="inlineStr">
        <is>
          <t>阿里腾讯字节百度2026年AI资本支出约1020亿美元；2030年中国芯片业capex 820亿美元（较一年前上调79%）</t>
        </is>
      </c>
      <c r="K25" t="inlineStr">
        <is>
          <t>四大互联网2026 AI capex约1020亿美元</t>
        </is>
      </c>
      <c r="L25" t="inlineStr">
        <is>
          <t>未录（口径）</t>
        </is>
      </c>
      <c r="M25" t="inlineStr">
        <is>
          <t>公开渠道转述（华尔街见闻等），无PDF</t>
        </is>
      </c>
      <c r="N25" t="inlineStr">
        <is>
          <t>公开转述·待核验</t>
        </is>
      </c>
      <c r="O25" t="inlineStr">
        <is>
          <t>2027年中国晶圆制造设备市场530亿美元；本土企业产值市占率2028年38%；6月芯片自给率约70%（产量口径）</t>
        </is>
      </c>
    </row>
    <row r="26">
      <c r="A26" t="inlineStr">
        <is>
          <t>PUB-GS-260910A</t>
        </is>
      </c>
      <c r="B26" t="inlineStr">
        <is>
          <t>Goldman Sachs（GS）</t>
        </is>
      </c>
      <c r="C26" t="inlineStr">
        <is>
          <t>2026-09-10</t>
        </is>
      </c>
      <c r="D26" t="inlineStr">
        <is>
          <t>腾讯/阿里/行业</t>
        </is>
      </c>
      <c r="E26" t="inlineStr">
        <is>
          <t>姜朗霆专访：中国互联网AI投资与模型竞争</t>
        </is>
      </c>
      <c r="F26" t="inlineStr">
        <is>
          <t>T-CN-001</t>
        </is>
      </c>
      <c r="H26" t="inlineStr">
        <is>
          <t>评级与目标价未录</t>
        </is>
      </c>
      <c r="I26" t="inlineStr">
        <is>
          <t>头部互联网两年capex预期上调；2030年中国AI模型词元调用量×25</t>
        </is>
      </c>
      <c r="L26" t="inlineStr">
        <is>
          <t>未录（口径）</t>
        </is>
      </c>
      <c r="M26" t="inlineStr">
        <is>
          <t>公开渠道转述（中国基金报专访），无PDF</t>
        </is>
      </c>
      <c r="N26" t="inlineStr">
        <is>
          <t>公开转述·待核验</t>
        </is>
      </c>
      <c r="O26" t="inlineStr">
        <is>
          <t>关注点从模型排名转向性价比与Harness落地；开源模型出海潜力大；独立AI模型公司定价与成本优势突出</t>
        </is>
      </c>
    </row>
    <row r="27">
      <c r="A27" t="inlineStr">
        <is>
          <t>PUB-GS-260825B</t>
        </is>
      </c>
      <c r="B27" t="inlineStr">
        <is>
          <t>Goldman Sachs（GS）</t>
        </is>
      </c>
      <c r="C27" t="inlineStr">
        <is>
          <t>2026-08-25</t>
        </is>
      </c>
      <c r="D27" t="inlineStr">
        <is>
          <t>行业</t>
        </is>
      </c>
      <c r="E27" t="inlineStr">
        <is>
          <t>全球晶圆厂设备（WFE）支出预测上调</t>
        </is>
      </c>
      <c r="F27" t="inlineStr">
        <is>
          <t>T-CAPEX-001</t>
        </is>
      </c>
      <c r="H27" t="inlineStr">
        <is>
          <t>评级与标的名单未录</t>
        </is>
      </c>
      <c r="I27" t="inlineStr">
        <is>
          <t>2026/27/28年WFE 1500/2180/2810亿美元（+36%/45%/29%）</t>
        </is>
      </c>
      <c r="K27" t="inlineStr">
        <is>
          <t>DRAM与先进代工为短期主驱动</t>
        </is>
      </c>
      <c r="L27" t="inlineStr">
        <is>
          <t>未录（口径）</t>
        </is>
      </c>
      <c r="M27" t="inlineStr">
        <is>
          <t>公开渠道转述，无PDF</t>
        </is>
      </c>
      <c r="N27" t="inlineStr">
        <is>
          <t>公开转述·待核验</t>
        </is>
      </c>
      <c r="O27" t="inlineStr">
        <is>
          <t>待原报告核对代工/DRAM/NAND细分口径</t>
        </is>
      </c>
    </row>
    <row r="28">
      <c r="A28" t="inlineStr">
        <is>
          <t>PUB-GS-260909A</t>
        </is>
      </c>
      <c r="B28" t="inlineStr">
        <is>
          <t>Goldman Sachs（GS）</t>
        </is>
      </c>
      <c r="C28" t="inlineStr">
        <is>
          <t>2026-09-09</t>
        </is>
      </c>
      <c r="D28" t="inlineStr">
        <is>
          <t>Google</t>
        </is>
      </c>
      <c r="E28" t="inlineStr">
        <is>
          <t>Communacopia：Google Cloud CEO炉边谈话要点</t>
        </is>
      </c>
      <c r="F28" t="inlineStr">
        <is>
          <t>T-CAPEX-001</t>
        </is>
      </c>
      <c r="H28" t="inlineStr">
        <is>
          <t>公司自述口径无第三方审计</t>
        </is>
      </c>
      <c r="I28" t="inlineStr">
        <is>
          <t>AI服务器投资回收期&lt;2年、自研芯片约1年；云年化收入运行率近$1000亿；17条产品线各超$10亿</t>
        </is>
      </c>
      <c r="K28" t="inlineStr">
        <is>
          <t>TPU三种商业模式（云订阅/硬件销售/neocloud）</t>
        </is>
      </c>
      <c r="L28" t="inlineStr">
        <is>
          <t>未录（口径）</t>
        </is>
      </c>
      <c r="M28" t="inlineStr">
        <is>
          <t>据公众号解读转述，无PDF</t>
        </is>
      </c>
      <c r="N28" t="inlineStr">
        <is>
          <t>公开转述·待核验</t>
        </is>
      </c>
      <c r="O28" t="inlineStr">
        <is>
          <t>Gemini Enterprise财富100强90%采用；数字为公司路演口径</t>
        </is>
      </c>
    </row>
    <row r="29">
      <c r="A29" t="inlineStr">
        <is>
          <t>PUB-CICC-260820A</t>
        </is>
      </c>
      <c r="B29" t="inlineStr">
        <is>
          <t>中金公司（CICC）</t>
        </is>
      </c>
      <c r="C29" t="inlineStr">
        <is>
          <t>2026-08-20</t>
        </is>
      </c>
      <c r="D29" t="inlineStr">
        <is>
          <t>行业</t>
        </is>
      </c>
      <c r="E29" t="inlineStr">
        <is>
          <t>AI基础设施：超节点重塑国产算力，海外AI高景气延续</t>
        </is>
      </c>
      <c r="F29" t="inlineStr">
        <is>
          <t>T-CAPEX-001</t>
        </is>
      </c>
      <c r="H29" t="inlineStr">
        <is>
          <t>评级与目标价未录</t>
        </is>
      </c>
      <c r="I29" t="inlineStr">
        <is>
          <t>2Q26北美Top4 capex（含融资租赁）1712.3亿美元（+78.7%/环比+30.1%）；2026/27 AI ASIC出货+150%+（810万/1570万片）</t>
        </is>
      </c>
      <c r="K29" t="inlineStr">
        <is>
          <t>谷歌指引1950-2050亿美元；亚马逊2200亿；Meta 1300-1450亿；微软账面1750亿系会计调整</t>
        </is>
      </c>
      <c r="L29" t="inlineStr">
        <is>
          <t>未录（口径）</t>
        </is>
      </c>
      <c r="M29" t="inlineStr">
        <is>
          <t>中金点睛官方公众号转发，无PDF</t>
        </is>
      </c>
      <c r="N29" t="inlineStr">
        <is>
          <t>公开转述·待核验</t>
        </is>
      </c>
      <c r="O29" t="inlineStr">
        <is>
          <t>AWS backlog 4960亿美元三位数增长；微软RPO 6780亿（ex-OpenAI +25%）</t>
        </is>
      </c>
    </row>
    <row r="30">
      <c r="A30" t="inlineStr">
        <is>
          <t>PUB-CSC-260910A</t>
        </is>
      </c>
      <c r="B30" t="inlineStr">
        <is>
          <t>中信建投（CSC）</t>
        </is>
      </c>
      <c r="C30" t="inlineStr">
        <is>
          <t>2026-09-10</t>
        </is>
      </c>
      <c r="D30" t="inlineStr">
        <is>
          <t>行业/阿里</t>
        </is>
      </c>
      <c r="E30" t="inlineStr">
        <is>
          <t>AI算力景气延续，持仓再创新高，云厂商资本开支持续加码</t>
        </is>
      </c>
      <c r="F30" t="inlineStr">
        <is>
          <t>T-CAPEX-001</t>
        </is>
      </c>
      <c r="H30" t="inlineStr">
        <is>
          <t>评级与目标价未录</t>
        </is>
      </c>
      <c r="I30" t="inlineStr">
        <is>
          <t>四大2026年合计capex约7325亿美元（中值）；NVDA FY2028营收指引+70%；Anthropic年化收入超$650亿、OpenAI超$400亿</t>
        </is>
      </c>
      <c r="K30" t="inlineStr">
        <is>
          <t>亚马逊上调至2200亿；微软账面约1750亿（实际未下调）</t>
        </is>
      </c>
      <c r="L30" t="inlineStr">
        <is>
          <t>未录（口径）</t>
        </is>
      </c>
      <c r="M30" t="inlineStr">
        <is>
          <t>中信建投证券研究官方公众号全文，无PDF</t>
        </is>
      </c>
      <c r="N30" t="inlineStr">
        <is>
          <t>公开转述·待核验</t>
        </is>
      </c>
      <c r="O30" t="inlineStr">
        <is>
          <t>阿里AI云及算力收入484.4亿元（+45%）、MaaS ARR超160亿元；字节7月AI年化约$40亿</t>
        </is>
      </c>
    </row>
    <row r="31">
      <c r="A31" t="inlineStr">
        <is>
          <t>RS-20260917-01</t>
        </is>
      </c>
      <c r="B31" t="inlineStr">
        <is>
          <t>中金</t>
        </is>
      </c>
      <c r="C31" t="inlineStr">
        <is>
          <t>2026-09-01</t>
        </is>
      </c>
      <c r="D31" t="inlineStr">
        <is>
          <t>智谱</t>
        </is>
      </c>
      <c r="F31" t="inlineStr">
        <is>
          <t>T-CN-001</t>
        </is>
      </c>
      <c r="I31" t="inlineStr">
        <is>
          <t>1H2026收入符合预期，API收入加速成为核心增长引擎；将2026/2027收入预测上调63%/27%至60.7亿/151.1亿元。</t>
        </is>
      </c>
      <c r="M31" t="inlineStr">
        <is>
          <t>无PDF原文</t>
        </is>
      </c>
      <c r="N31" t="inlineStr">
        <is>
          <t>公开转述·待核验</t>
        </is>
      </c>
      <c r="O31" t="inlineStr">
        <is>
          <t>据格隆汇转引中金研报观点整理（公开转述，无PDF原文）；不涉及评级与目标价</t>
        </is>
      </c>
    </row>
    <row r="32">
      <c r="A32" t="inlineStr">
        <is>
          <t>RS-20260917-02</t>
        </is>
      </c>
      <c r="B32" t="inlineStr">
        <is>
          <t>招银国际</t>
        </is>
      </c>
      <c r="C32" t="inlineStr">
        <is>
          <t>2026-09-03</t>
        </is>
      </c>
      <c r="D32" t="inlineStr">
        <is>
          <t>智谱</t>
        </is>
      </c>
      <c r="F32" t="inlineStr">
        <is>
          <t>T-CN-001</t>
        </is>
      </c>
      <c r="I32" t="inlineStr">
        <is>
          <t>智谱在模型迭代速度、智能水平与单任务成本间实现有效平衡，处于大语言模型行业帕累托前沿；用户规模与参与度的新增披露强化正面看法；2025-28E收入复合增速预测由199%上调至275%、2028E收入预测上调至381亿元。</t>
        </is>
      </c>
      <c r="M32" t="inlineStr">
        <is>
          <t>无PDF原文</t>
        </is>
      </c>
      <c r="N32" t="inlineStr">
        <is>
          <t>公开转述·待核验</t>
        </is>
      </c>
      <c r="O32" t="inlineStr">
        <is>
          <t>据招银国际研报日报转载口径（公开转述）；不涉及评级与目标价</t>
        </is>
      </c>
    </row>
    <row r="33">
      <c r="A33" t="inlineStr">
        <is>
          <t>RS-20260917-03</t>
        </is>
      </c>
      <c r="B33" t="inlineStr">
        <is>
          <t>Morgan Stanley</t>
        </is>
      </c>
      <c r="C33" t="inlineStr">
        <is>
          <t>2026-09-01</t>
        </is>
      </c>
      <c r="D33" t="inlineStr">
        <is>
          <t>智谱</t>
        </is>
      </c>
      <c r="F33" t="inlineStr">
        <is>
          <t>T-CN-001</t>
        </is>
      </c>
      <c r="I33" t="inlineStr">
        <is>
          <t>上调全年ARR指引至24亿美元；将coding视为可迁移至网络安全、法律、金融等场景的meta-capability，估计coding可及市场约5,000亿美元、coworker agents约5万亿美元；预计开放平台毛利率未来12-18个月有望超50%。</t>
        </is>
      </c>
      <c r="M33" t="inlineStr">
        <is>
          <t>无PDF原文</t>
        </is>
      </c>
      <c r="N33" t="inlineStr">
        <is>
          <t>公开转述·待核验</t>
        </is>
      </c>
      <c r="O33" t="inlineStr">
        <is>
          <t>据Macrostream对MS观点摘要转述（公开转述）；不涉及评级与目标价</t>
        </is>
      </c>
    </row>
    <row r="34">
      <c r="A34" t="inlineStr">
        <is>
          <t>RS-20260917-04</t>
        </is>
      </c>
      <c r="B34" t="inlineStr">
        <is>
          <t>HSBC</t>
        </is>
      </c>
      <c r="C34" t="inlineStr">
        <is>
          <t>2026-09</t>
        </is>
      </c>
      <c r="D34" t="inlineStr">
        <is>
          <t>智谱</t>
        </is>
      </c>
      <c r="F34" t="inlineStr">
        <is>
          <t>T-CN-001</t>
        </is>
      </c>
      <c r="I34" t="inlineStr">
        <is>
          <t>认可API毛利率同比改善，但提示GPU租赁成本上升、Flash档产品毛利率低于GLM-5.3；竞品IPO降低稀缺性溢价列为主要风险；Cowork先进入金融、法律、设计等垂直场景，货币化节奏偏慢。</t>
        </is>
      </c>
      <c r="M34" t="inlineStr">
        <is>
          <t>无PDF原文</t>
        </is>
      </c>
      <c r="N34" t="inlineStr">
        <is>
          <t>公开转述·待核验</t>
        </is>
      </c>
      <c r="O34" t="inlineStr">
        <is>
          <t>据Macrostream转载HSBC摘要（2026-09中旬）整理（公开转述）</t>
        </is>
      </c>
    </row>
    <row r="35">
      <c r="A35" t="inlineStr">
        <is>
          <t>RS-20260917-05</t>
        </is>
      </c>
      <c r="B35" t="inlineStr">
        <is>
          <t>妙投/钛媒体</t>
        </is>
      </c>
      <c r="C35" t="inlineStr">
        <is>
          <t>2026-09-01</t>
        </is>
      </c>
      <c r="D35" t="inlineStr">
        <is>
          <t>MiniMax</t>
        </is>
      </c>
      <c r="F35" t="inlineStr">
        <is>
          <t>T-CN-001</t>
        </is>
      </c>
      <c r="I35" t="inlineStr">
        <is>
          <t>三个验证信号：B端收入增长能否被企业客户数、API调用量、付费转化率与留存验证；毛利率能否重回20%以上并向2025全年25.4%靠拢；M3、H3能否从榜单指标变成收入指标。中报未拆分企业客户数、付费率与净收入留存率，缺失本身压低市场对增长的信任折扣；MS模型基于2026年底10亿美元ARR预期。</t>
        </is>
      </c>
      <c r="M35" t="inlineStr">
        <is>
          <t>无PDF原文</t>
        </is>
      </c>
      <c r="N35" t="inlineStr">
        <is>
          <t>公开转述·待核验</t>
        </is>
      </c>
      <c r="O35" t="inlineStr">
        <is>
          <t>据妙投（2026-08-27）与钛媒体（2026-09-01）观点整理（公开转述）</t>
        </is>
      </c>
    </row>
  </sheetData>
  <autoFilter ref="A1:O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9"/>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4" customWidth="1" min="3" max="3"/>
    <col width="18" customWidth="1" min="4" max="4"/>
    <col width="16" customWidth="1" min="5" max="5"/>
    <col width="16" customWidth="1" min="6" max="6"/>
    <col width="60" customWidth="1" min="7" max="7"/>
    <col width="48" customWidth="1" min="8" max="8"/>
    <col width="38" customWidth="1" min="9" max="9"/>
    <col width="44" customWidth="1" min="10" max="10"/>
    <col width="44" customWidth="1" min="11" max="11"/>
    <col width="52" customWidth="1" min="12" max="12"/>
    <col width="20" customWidth="1" min="13" max="13"/>
    <col width="16" customWidth="1" min="14" max="14"/>
    <col width="36" customWidth="1" min="15" max="15"/>
  </cols>
  <sheetData>
    <row r="1" ht="30" customHeight="1">
      <c r="A1" s="16" t="inlineStr">
        <is>
          <t>事实ID</t>
        </is>
      </c>
      <c r="B1" s="16" t="inlineStr">
        <is>
          <t>公司</t>
        </is>
      </c>
      <c r="C1" s="16" t="inlineStr">
        <is>
          <t>披露日期</t>
        </is>
      </c>
      <c r="D1" s="16" t="inlineStr">
        <is>
          <t>资料类型</t>
        </is>
      </c>
      <c r="E1" s="16" t="inlineStr">
        <is>
          <t>季度/期间</t>
        </is>
      </c>
      <c r="F1" s="16" t="inlineStr">
        <is>
          <t>主题编号</t>
        </is>
      </c>
      <c r="G1" s="16" t="inlineStr">
        <is>
          <t>官方原文</t>
        </is>
      </c>
      <c r="H1" s="16" t="inlineStr">
        <is>
          <t>我们的转述</t>
        </is>
      </c>
      <c r="I1" s="16" t="inlineStr">
        <is>
          <t>经营数据</t>
        </is>
      </c>
      <c r="J1" s="16" t="inlineStr">
        <is>
          <t>官方定性</t>
        </is>
      </c>
      <c r="K1" s="16" t="inlineStr">
        <is>
          <t>推断</t>
        </is>
      </c>
      <c r="L1" s="16" t="inlineStr">
        <is>
          <t>原文链接/定位</t>
        </is>
      </c>
      <c r="M1" s="16" t="inlineStr">
        <is>
          <t>否定的主张ID</t>
        </is>
      </c>
      <c r="N1" s="16" t="inlineStr">
        <is>
          <t>核验人</t>
        </is>
      </c>
      <c r="O1" s="16" t="inlineStr">
        <is>
          <t>备注</t>
        </is>
      </c>
      <c r="P1" t="inlineStr">
        <is>
          <t>业务分类</t>
        </is>
      </c>
    </row>
    <row r="2">
      <c r="A2" s="18" t="inlineStr">
        <is>
          <t>FACT-20260916-001</t>
        </is>
      </c>
      <c r="B2" s="18" t="inlineStr">
        <is>
          <t>Google</t>
        </is>
      </c>
      <c r="C2" s="18" t="inlineStr">
        <is>
          <t>2026-09-16</t>
        </is>
      </c>
      <c r="D2" s="18" t="inlineStr">
        <is>
          <t>官方口径</t>
        </is>
      </c>
      <c r="E2" s="18" t="n"/>
      <c r="F2" s="18" t="inlineStr">
        <is>
          <t>T-AIO-001</t>
        </is>
      </c>
      <c r="G2" s="19" t="inlineStr">
        <is>
          <t>AI Max for Search campaigns see an average of &lt;mark&gt;7% more conversions or conversion value at a similar CPA/ROAS&lt;/mark&gt; when using the full feature suite — search term matching, text customization and final URL expansion — compared to using search term matching alone.</t>
        </is>
      </c>
      <c r="H2" s="18" t="inlineStr">
        <is>
          <t>Google称，AI Max完整启用搜索词匹配、文本定制和最终网址扩展后，相比仅使用搜索词匹配，在CPA或ROAS相近的情况下，平均可多获得7%的转化或转化价值。</t>
        </is>
      </c>
      <c r="I2" s="18" t="inlineStr">
        <is>
          <t>官方测试口径：+7%转化或转化价值</t>
        </is>
      </c>
      <c r="J2" s="18" t="inlineStr">
        <is>
          <t>适用范围为Google汇总测试结果，能否外推至具体广告主仍需账户级实验。</t>
        </is>
      </c>
      <c r="K2" s="18" t="n"/>
      <c r="L2" s="18" t="inlineStr">
        <is>
          <t>https://blog.google/products/ads-commerce/dsa-upgrade-to-ai-max-2026/</t>
        </is>
      </c>
      <c r="M2" s="18" t="n"/>
      <c r="N2" s="18" t="n"/>
      <c r="O2" s="18" t="n"/>
      <c r="P2" t="inlineStr">
        <is>
          <t>广告与商业化</t>
        </is>
      </c>
    </row>
    <row r="3">
      <c r="A3" s="18" t="inlineStr">
        <is>
          <t>FACT-20260916-002</t>
        </is>
      </c>
      <c r="B3" s="18" t="inlineStr">
        <is>
          <t>Amazon</t>
        </is>
      </c>
      <c r="C3" s="18" t="inlineStr">
        <is>
          <t>2026-09-16</t>
        </is>
      </c>
      <c r="D3" s="18" t="inlineStr">
        <is>
          <t>官方口径</t>
        </is>
      </c>
      <c r="E3" s="18" t="n"/>
      <c r="F3" s="18" t="inlineStr">
        <is>
          <t>T-CAPEX-001</t>
        </is>
      </c>
      <c r="G3" s="19" t="inlineStr">
        <is>
          <t>AWS segment sales increased &lt;mark&gt;37% year-over-year to $42.2 billion&lt;/mark&gt;. Free cash flow decreased to &lt;mark&gt;an outflow of $7.6 billion for the trailing twelve months&lt;/mark&gt;, driven primarily by a year-over-year increase of $66.1 billion in purchases of property and equipment, net of proceeds from sales and incentives. This increase primarily reflects investments in artificial intelligence.</t>
        </is>
      </c>
      <c r="H3" s="18" t="inlineStr">
        <is>
          <t>AWS分部销售额同比增长37%至422亿美元；过去十二个月自由现金流降至净流出76亿美元，主要由于购置物业与设备净额同比增加661亿美元，这一增长主要反映对人工智能的投资。</t>
        </is>
      </c>
      <c r="I3" s="18" t="inlineStr">
        <is>
          <t>AWS $42.2B +37% · FCF(TTM) -76亿美元 · 设备投入同比+661亿</t>
        </is>
      </c>
      <c r="J3" s="18" t="inlineStr">
        <is>
          <t>新闻稿同时披露：AWS年化收入运行率1690亿美元；Jassy表示AI与芯片业务年化收入均超250亿美元。</t>
        </is>
      </c>
      <c r="K3" s="18" t="n"/>
      <c r="L3" s="18" t="inlineStr">
        <is>
          <t>https://www.sec.gov/Archives/edgar/data/1018724/000101872426000024/amzn-20260630xex991.htm</t>
        </is>
      </c>
      <c r="M3" s="18" t="n"/>
      <c r="N3" s="18" t="n"/>
      <c r="O3" s="18" t="n"/>
      <c r="P3" t="inlineStr">
        <is>
          <t>云与算力</t>
        </is>
      </c>
    </row>
    <row r="4">
      <c r="A4" s="18" t="inlineStr">
        <is>
          <t>FACT-20260916-003</t>
        </is>
      </c>
      <c r="B4" s="18" t="inlineStr">
        <is>
          <t>Meta</t>
        </is>
      </c>
      <c r="C4" s="18" t="inlineStr">
        <is>
          <t>2026-09-16</t>
        </is>
      </c>
      <c r="D4" s="18" t="inlineStr">
        <is>
          <t>官方口径</t>
        </is>
      </c>
      <c r="E4" s="18" t="n"/>
      <c r="F4" s="18" t="inlineStr">
        <is>
          <t>T-MUSE-001</t>
        </is>
      </c>
      <c r="G4" s="19" t="inlineStr">
        <is>
          <t>People just tell Muse what needs to get done, and &lt;mark&gt;it takes action, powered by Muse Spark, Meta’s most capable model to date, built for real-world agentic work like this&lt;/mark&gt;.</t>
        </is>
      </c>
      <c r="H4" s="18" t="inlineStr">
        <is>
          <t>用户只需告诉Muse需要完成什么，它就会采取行动。其底层由Muse Spark驱动，这是Meta迄今能力最强、面向现实世界智能体任务打造的模型。</t>
        </is>
      </c>
      <c r="I4" s="18" t="inlineStr">
        <is>
          <t>个人AI Agent · Muse Spark · Secure VM</t>
        </is>
      </c>
      <c r="J4" s="18" t="inlineStr">
        <is>
          <t>Muse可在后台推进多步骤任务，并在发送邮件、购买等敏感动作前请求用户确认。</t>
        </is>
      </c>
      <c r="K4" s="18" t="n"/>
      <c r="L4" s="18" t="inlineStr">
        <is>
          <t>https://about.fb.com/news/2026/09/introducing-muse-personal-ai-agent/</t>
        </is>
      </c>
      <c r="M4" s="18" t="n"/>
      <c r="N4" s="18" t="n"/>
      <c r="O4" s="18" t="n"/>
      <c r="P4" t="inlineStr">
        <is>
          <t>AI产品与模型</t>
        </is>
      </c>
    </row>
    <row r="5">
      <c r="A5" t="inlineStr">
        <is>
          <t>FACT-20260916-004</t>
        </is>
      </c>
      <c r="B5" t="inlineStr">
        <is>
          <t>Meta</t>
        </is>
      </c>
      <c r="C5" t="inlineStr">
        <is>
          <t>2026-09-16</t>
        </is>
      </c>
      <c r="D5" t="inlineStr">
        <is>
          <t>官方口径</t>
        </is>
      </c>
      <c r="F5" t="inlineStr">
        <is>
          <t>T-CAPEX-001</t>
        </is>
      </c>
      <c r="G5" t="inlineStr">
        <is>
          <t>Revenue – Revenue was &lt;mark&gt;$60.80 billion, an increase of 28% year-over-year&lt;/mark&gt;. Revenue on a constant currency basis would have increased by 27% year-over-year. Ad impressions – Ad impressions delivered across our Family of Apps increased by 14% year-over-year. Capital expenditures – Capital expenditures, including principal payments on finance leases, were &lt;mark&gt;$31.08 billion&lt;/mark&gt;.</t>
        </is>
      </c>
      <c r="H5" t="inlineStr">
        <is>
          <t>营收608.0亿美元，同比增长28%（固定汇率口径27%）；应用家族广告展示量同比+14%；含融资租赁本金付款的资本开支为310.8亿美元。</t>
        </is>
      </c>
      <c r="I5" t="inlineStr">
        <is>
          <t>Revenue $60.80B +28% · 展示量+14% · 单价+12% · Capex $31.08B · FCF $784M</t>
        </is>
      </c>
      <c r="J5" t="inlineStr">
        <is>
          <t>官方口径：展示量与单价双升驱动收入+28%；全年Capex指引1300-1450亿美元，Q3收入指引610-640亿美元。</t>
        </is>
      </c>
      <c r="L5" t="inlineStr">
        <is>
          <t>https://www.sec.gov/Archives/edgar/data/1326801/000162828026050596/meta-06302026xexhibit991.htm</t>
        </is>
      </c>
      <c r="P5" t="inlineStr">
        <is>
          <t>业绩与收入结构</t>
        </is>
      </c>
    </row>
    <row r="6">
      <c r="A6" t="inlineStr">
        <is>
          <t>FACT-20260916-005</t>
        </is>
      </c>
      <c r="B6" t="inlineStr">
        <is>
          <t>Google</t>
        </is>
      </c>
      <c r="C6" t="inlineStr">
        <is>
          <t>2026-09-16</t>
        </is>
      </c>
      <c r="D6" t="inlineStr">
        <is>
          <t>官方口径</t>
        </is>
      </c>
      <c r="F6" t="inlineStr">
        <is>
          <t>T-CAPEX-001</t>
        </is>
      </c>
      <c r="G6" t="inlineStr">
        <is>
          <t>Consolidated Alphabet revenues increased &lt;mark&gt;24%, or 23% in constant currency, to $119.8 billion&lt;/mark&gt;, reflecting strong performance across the business and our 12th consecutive quarter of double-digit revenue growth. Google Cloud saw a meaningful acceleration in growth as revenues increased &lt;mark&gt;82% to $24.8 billion&lt;/mark&gt;.</t>
        </is>
      </c>
      <c r="H6" t="inlineStr">
        <is>
          <t>Alphabet合并营收增长24%（固定汇率23%）至1198亿美元，为连续第12个季度双位数增长；谷歌云收入加速增长82%至248亿美元。</t>
        </is>
      </c>
      <c r="I6" t="inlineStr">
        <is>
          <t>Revenue $119.8B +24% · Cloud $24.8B +82% · Capex $44.9B · FCF -5,855百万（官方表格）</t>
        </is>
      </c>
      <c r="J6" t="inlineStr">
        <is>
          <t>自由现金流-58.55亿美元出自新闻稿现金流量调节表；全年Capex指引1950-2050亿美元出自业绩电话会口径。</t>
        </is>
      </c>
      <c r="L6" t="inlineStr">
        <is>
          <t>https://www.sec.gov/Archives/edgar/data/1652044/000165204426000066/googexhibit991q22026.htm</t>
        </is>
      </c>
      <c r="P6" t="inlineStr">
        <is>
          <t>业绩与收入结构</t>
        </is>
      </c>
    </row>
    <row r="7">
      <c r="A7" t="inlineStr">
        <is>
          <t>FACT-20260916-006</t>
        </is>
      </c>
      <c r="B7" t="inlineStr">
        <is>
          <t>Microsoft</t>
        </is>
      </c>
      <c r="C7" t="inlineStr">
        <is>
          <t>2026-09-16</t>
        </is>
      </c>
      <c r="D7" t="inlineStr">
        <is>
          <t>官方口径</t>
        </is>
      </c>
      <c r="F7" t="inlineStr">
        <is>
          <t>T-CAPEX-001</t>
        </is>
      </c>
      <c r="G7" t="inlineStr">
        <is>
          <t>Revenue was &lt;mark&gt;$90.0 billion and increased 18%&lt;/mark&gt; (up 17% in constant currency).</t>
        </is>
      </c>
      <c r="H7" t="inlineStr">
        <is>
          <t>本季度营收900亿美元，同比增长18%（按固定汇率计算增长17%）。</t>
        </is>
      </c>
      <c r="I7" t="inlineStr">
        <is>
          <t>Revenue $90.0B +18% · Azure FY26 全年 $101.9B</t>
        </is>
      </c>
      <c r="J7" t="inlineStr">
        <is>
          <t>FY26 Azure年收入首破千亿美元（据媒体转述1019.38亿、+40%）；公司宣布新财年起按季度单独披露Azure营收。</t>
        </is>
      </c>
      <c r="L7" t="inlineStr">
        <is>
          <t>https://www.microsoft.com/en-us/investor/earnings/fy-2026-q4/press-release-webcast</t>
        </is>
      </c>
      <c r="P7" t="inlineStr">
        <is>
          <t>业绩与收入结构</t>
        </is>
      </c>
    </row>
    <row r="8">
      <c r="A8" t="inlineStr">
        <is>
          <t>FACT-20260916-007</t>
        </is>
      </c>
      <c r="B8" t="inlineStr">
        <is>
          <t>腾讯</t>
        </is>
      </c>
      <c r="C8" t="inlineStr">
        <is>
          <t>2026-09-16</t>
        </is>
      </c>
      <c r="D8" t="inlineStr">
        <is>
          <t>官方口径</t>
        </is>
      </c>
      <c r="F8" t="inlineStr">
        <is>
          <t>T-CN-001</t>
        </is>
      </c>
      <c r="H8" t="inlineStr">
        <is>
          <t>二零二六年第二季，本集團錄得負自由現金流人民幣138億元，此乃由於經營活動所產生的現金淨額人民幣527億元，被資本開支付款人民幣593億元、媒體內容付款人民幣50億元及租賃負債付款人民幣22億元超額抵銷。</t>
        </is>
      </c>
      <c r="I8" t="inlineStr">
        <is>
          <t>Capex付款593亿 · FCF -138亿（2026Q2）</t>
        </is>
      </c>
      <c r="J8" t="inlineStr">
        <is>
          <t>公告原文为繁体中文；其资本开支口径含IT基础设施、数据中心、土地使用权、办公园区及知识产权。</t>
        </is>
      </c>
      <c r="L8" t="inlineStr">
        <is>
          <t>https://www1.hkexnews.hk/listedco/listconews/sehk/2026/0812/2026081200297_c.pdf</t>
        </is>
      </c>
      <c r="P8" t="inlineStr">
        <is>
          <t>资本开支与现金流</t>
        </is>
      </c>
    </row>
    <row r="9">
      <c r="A9" t="inlineStr">
        <is>
          <t>FACT-20260916-008</t>
        </is>
      </c>
      <c r="B9" t="inlineStr">
        <is>
          <t>阿里</t>
        </is>
      </c>
      <c r="C9" t="inlineStr">
        <is>
          <t>2026-09-16</t>
        </is>
      </c>
      <c r="D9" t="inlineStr">
        <is>
          <t>官方口径</t>
        </is>
      </c>
      <c r="F9" t="inlineStr">
        <is>
          <t>T-CN-001</t>
        </is>
      </c>
      <c r="H9" t="inlineStr">
        <is>
          <t>截至2026年6月30日止季度，資本性支出為人民幣676.78億元（99.75億美元），較2025年同期的人民幣386.76億元增長75%，源於我們持續投入AI基礎設施，以滿足強勁且不斷增長的客戶需求。</t>
        </is>
      </c>
      <c r="I9" t="inlineStr">
        <is>
          <t>Capex 676.78亿 +75% · FCF净流出446.70亿</t>
        </is>
      </c>
      <c r="J9" t="inlineStr">
        <is>
          <t>同季度自由现金流净流出446.70亿元（去年同期净流出188.15亿元）；云智能集团与平头哥整合组建AI云与算力服务。</t>
        </is>
      </c>
      <c r="L9" t="inlineStr">
        <is>
          <t>https://www1.hkexnews.hk/listedco/listconews/sehk/2026/0820/2026082000746_c.pdf</t>
        </is>
      </c>
      <c r="P9" t="inlineStr">
        <is>
          <t>资本开支与现金流</t>
        </is>
      </c>
    </row>
    <row r="10">
      <c r="A10" t="inlineStr">
        <is>
          <t>FACT-20260916-009</t>
        </is>
      </c>
      <c r="B10" t="inlineStr">
        <is>
          <t>快手</t>
        </is>
      </c>
      <c r="C10" t="inlineStr">
        <is>
          <t>2026-09-16</t>
        </is>
      </c>
      <c r="D10" t="inlineStr">
        <is>
          <t>官方口径</t>
        </is>
      </c>
      <c r="F10" t="inlineStr">
        <is>
          <t>T-CN-001</t>
        </is>
      </c>
      <c r="H10" t="inlineStr">
        <is>
          <t>2026年第二季度，快手應用的平均日活躍用戶達到412.3百萬，總收入同比增長1.4%至人民幣355億元，其中，包含線上營銷服務和以電商及可靈AI為主的其他服務在內的核心商業收入，同比增長達7.4%。</t>
        </is>
      </c>
      <c r="I10" t="inlineStr">
        <is>
          <t>DAU 4.123亿 · 收入355亿 +1.4% · 研发开支46亿 +34.7%</t>
        </is>
      </c>
      <c r="J10" t="inlineStr">
        <is>
          <t>研发开支增长34.7%，主要由于对AI的投入增加，包括相关训练支出。</t>
        </is>
      </c>
      <c r="L10" t="inlineStr">
        <is>
          <t>https://www1.hkexnews.hk/listedco/listconews/sehk/2026/0819/2026081900315_c.pdf</t>
        </is>
      </c>
      <c r="P10" t="inlineStr">
        <is>
          <t>业绩与收入结构</t>
        </is>
      </c>
    </row>
    <row r="11">
      <c r="A11" t="inlineStr">
        <is>
          <t>FACT-20260916-010</t>
        </is>
      </c>
      <c r="B11" t="inlineStr">
        <is>
          <t>美团</t>
        </is>
      </c>
      <c r="C11" t="inlineStr">
        <is>
          <t>2026-09-16</t>
        </is>
      </c>
      <c r="D11" t="inlineStr">
        <is>
          <t>官方口径</t>
        </is>
      </c>
      <c r="F11" t="inlineStr">
        <is>
          <t>T-CN-001</t>
        </is>
      </c>
      <c r="H11" t="inlineStr">
        <is>
          <t>分部經營溢利總額大幅改善，轉正至人民幣39億元，主要由於核心本地商業分部的經營溢利恢復至人民幣57億元，同比改善52.3%。</t>
        </is>
      </c>
      <c r="I11" t="inlineStr">
        <is>
          <t>分部经营溢利转正39亿 · 研发开支77亿 +22.5%</t>
        </is>
      </c>
      <c r="J11" t="inlineStr">
        <is>
          <t>研发开支占收入百分比升至7.3%（同比+0.5pct）；据公告，研发增长主要投向AI能力建设。</t>
        </is>
      </c>
      <c r="L11" t="inlineStr">
        <is>
          <t>https://www1.hkexnews.hk/listedco/listconews/sehk/2026/0828/2026082800436_c.pdf</t>
        </is>
      </c>
      <c r="P11" t="inlineStr">
        <is>
          <t>业绩与收入结构</t>
        </is>
      </c>
    </row>
    <row r="12">
      <c r="A12" t="inlineStr">
        <is>
          <t>FACT-20260916-011</t>
        </is>
      </c>
      <c r="B12" t="inlineStr">
        <is>
          <t>Microsoft</t>
        </is>
      </c>
      <c r="C12" t="inlineStr">
        <is>
          <t>2026-09-16</t>
        </is>
      </c>
      <c r="D12" t="inlineStr">
        <is>
          <t>官方口径</t>
        </is>
      </c>
      <c r="F12" t="inlineStr">
        <is>
          <t>T-CAPEX-001</t>
        </is>
      </c>
      <c r="G12" t="inlineStr">
        <is>
          <t>This year, Azure revenue surpassed &lt;mark&gt;$100 billion for the first time&lt;/mark&gt;, and Microsoft 365 Copilot reached &lt;mark&gt;over 30 million paid seats&lt;/mark&gt;, reflecting the confidence customers are placing in us to power their AI transformation.</t>
        </is>
      </c>
      <c r="H12" t="inlineStr">
        <is>
          <t>今年Azure收入首次突破1,000亿美元，Microsoft 365 Copilot付费席位超过3,000万，反映了客户对微软驱动其AI转型的信心。</t>
        </is>
      </c>
      <c r="I12" t="inlineStr">
        <is>
          <t>Azure FY26 &gt;$100B · Copilot &gt;30M席位</t>
        </is>
      </c>
      <c r="J12" t="inlineStr">
        <is>
          <t>管理层引言；Azure FY26Q4单季增速43%，全年口径为公司宣布首破千亿。</t>
        </is>
      </c>
      <c r="L12" t="inlineStr">
        <is>
          <t>https://www.microsoft.com/en-us/investor/earnings/fy-2026-q4/press-release-webcast</t>
        </is>
      </c>
      <c r="P12" t="inlineStr">
        <is>
          <t>云与算力</t>
        </is>
      </c>
    </row>
    <row r="13">
      <c r="A13" t="inlineStr">
        <is>
          <t>FACT-20260916-012</t>
        </is>
      </c>
      <c r="B13" t="inlineStr">
        <is>
          <t>Microsoft</t>
        </is>
      </c>
      <c r="C13" t="inlineStr">
        <is>
          <t>2026-09-16</t>
        </is>
      </c>
      <c r="D13" t="inlineStr">
        <is>
          <t>官方口径</t>
        </is>
      </c>
      <c r="F13" t="inlineStr">
        <is>
          <t>T-CAPEX-001</t>
        </is>
      </c>
      <c r="G13" t="inlineStr">
        <is>
          <t>Capital expenditures were &lt;mark&gt;$41 billion&lt;/mark&gt; including the impact from higher component pricing as noted in our guide. &lt;mark&gt;Roughly two thirds of our capex was for short-lived assets, primarily CPUs and GPUs&lt;/mark&gt; as customers increasingly build solutions that leverage both AI and non-AI infrastructure.</t>
        </is>
      </c>
      <c r="H13" t="inlineStr">
        <is>
          <t>资本开支410亿美元（含指引中提示的组件涨价影响）；约三分之二投向以CPU和GPU为主的短寿命资产，客户正同时基于AI与非AI基础设施构建方案。</t>
        </is>
      </c>
      <c r="I13" t="inlineStr">
        <is>
          <t>Capex $41B（含融资租赁）· 现金口径PP&amp;E $35.8B · 约2/3短寿命资产</t>
        </is>
      </c>
      <c r="J13" t="inlineStr">
        <is>
          <t>现金流量表物业设备增加358.0亿美元；410亿为业绩会披露的含融资租赁口径。</t>
        </is>
      </c>
      <c r="L13" t="inlineStr">
        <is>
          <t>https://www.microsoft.com/en-us/investor/earnings/fy-2026-q4/press-release-webcast</t>
        </is>
      </c>
      <c r="P13" t="inlineStr">
        <is>
          <t>资本开支与现金流</t>
        </is>
      </c>
    </row>
    <row r="14">
      <c r="A14" t="inlineStr">
        <is>
          <t>FACT-20260916-013</t>
        </is>
      </c>
      <c r="B14" t="inlineStr">
        <is>
          <t>Microsoft</t>
        </is>
      </c>
      <c r="C14" t="inlineStr">
        <is>
          <t>2026-09-16</t>
        </is>
      </c>
      <c r="D14" t="inlineStr">
        <is>
          <t>官方口径</t>
        </is>
      </c>
      <c r="F14" t="inlineStr">
        <is>
          <t>T-CAPEX-001</t>
        </is>
      </c>
      <c r="G14" t="inlineStr">
        <is>
          <t>We added &lt;mark&gt;31 new datacenters across 5 continents this quarter&lt;/mark&gt; … All up, we added &lt;mark&gt;another gigawatt of capacity this quarter&lt;/mark&gt; and remain on track to &lt;mark&gt;roughly double our overall capacity in just two years&lt;/mark&gt;.</t>
        </is>
      </c>
      <c r="H14" t="inlineStr">
        <is>
          <t>本季在五大洲新增31个数据中心；本季新增1吉瓦容量，并按计划两年内将总容量约翻倍。</t>
        </is>
      </c>
      <c r="I14" t="inlineStr">
        <is>
          <t>新增31个数据中心 · +1GW · 两年约2x</t>
        </is>
      </c>
      <c r="J14" t="inlineStr">
        <is>
          <t>最大区域GPU dock-to-live时间缩短近50%；FY27起数据中心折旧年限15年延至25年。</t>
        </is>
      </c>
      <c r="L14" t="inlineStr">
        <is>
          <t>https://www.microsoft.com/en-us/investor/earnings/fy-2026-q4/press-release-webcast</t>
        </is>
      </c>
      <c r="P14" t="inlineStr">
        <is>
          <t>云与算力</t>
        </is>
      </c>
    </row>
    <row r="15">
      <c r="A15" t="inlineStr">
        <is>
          <t>FACT-20260917-014</t>
        </is>
      </c>
      <c r="B15" t="inlineStr">
        <is>
          <t>Meta</t>
        </is>
      </c>
      <c r="C15" t="inlineStr">
        <is>
          <t>2026-09-17</t>
        </is>
      </c>
      <c r="D15" t="inlineStr">
        <is>
          <t>官方口径</t>
        </is>
      </c>
      <c r="F15" t="inlineStr">
        <is>
          <t>T-CAPEX-001</t>
        </is>
      </c>
      <c r="G15" t="inlineStr">
        <is>
          <t>We anticipate 2026 capital expenditures, including principal payments on finance leases, to be &lt;mark&gt;in the range of $130-145 billion&lt;/mark&gt;.</t>
        </is>
      </c>
      <c r="H15" t="inlineStr">
        <is>
          <t>我们预计2026年资本开支（含融资租赁本金付款）在1300亿至1450亿美元区间。</t>
        </is>
      </c>
      <c r="I15" t="inlineStr">
        <is>
          <t>全年Capex指引 $130-145B</t>
        </is>
      </c>
      <c r="J15" t="inlineStr">
        <is>
          <t>此前指引区间1250-1450亿美元，本次上调下限；Q3总收入指引610-640亿美元。</t>
        </is>
      </c>
      <c r="L15" t="inlineStr">
        <is>
          <t>https://www.sec.gov/Archives/edgar/data/1326801/000162828026050596/meta-06302026xexhibit991.htm</t>
        </is>
      </c>
      <c r="P15" t="inlineStr">
        <is>
          <t>资本开支与现金流</t>
        </is>
      </c>
    </row>
    <row r="16">
      <c r="A16" t="inlineStr">
        <is>
          <t>FACT-20260917-015</t>
        </is>
      </c>
      <c r="B16" t="inlineStr">
        <is>
          <t>Google</t>
        </is>
      </c>
      <c r="C16" t="inlineStr">
        <is>
          <t>2026-09-17</t>
        </is>
      </c>
      <c r="D16" t="inlineStr">
        <is>
          <t>官方口径</t>
        </is>
      </c>
      <c r="F16" t="inlineStr">
        <is>
          <t>T-CAPEX-001</t>
        </is>
      </c>
      <c r="G16" t="inlineStr">
        <is>
          <t>And Cloud backlog grew to &lt;mark&gt;$514 billion&lt;/mark&gt;.</t>
        </is>
      </c>
      <c r="H16" t="inlineStr">
        <is>
          <t>云业务待执行订单（backlog）增长至5140亿美元。</t>
        </is>
      </c>
      <c r="I16" t="inlineStr">
        <is>
          <t>Cloud backlog $514B · 单季净增超$50B</t>
        </is>
      </c>
      <c r="J16" t="inlineStr">
        <is>
          <t>业绩会口径：预计略高于一半的backlog将在未来24个月内确认为收入。</t>
        </is>
      </c>
      <c r="L16" t="inlineStr">
        <is>
          <t>https://www.abc.xyz/investor/news/news-details/2026/Alphabet-Announces-Second-Quarter-2026-Results-2026-Y3uQ6H4ZJa/default.aspx</t>
        </is>
      </c>
      <c r="P16" t="inlineStr">
        <is>
          <t>云与算力</t>
        </is>
      </c>
    </row>
    <row r="17">
      <c r="A17" t="inlineStr">
        <is>
          <t>FACT-20260917-016</t>
        </is>
      </c>
      <c r="B17" t="inlineStr">
        <is>
          <t>Amazon</t>
        </is>
      </c>
      <c r="C17" t="inlineStr">
        <is>
          <t>2026-09-17</t>
        </is>
      </c>
      <c r="D17" t="inlineStr">
        <is>
          <t>官方口径</t>
        </is>
      </c>
      <c r="F17" t="inlineStr">
        <is>
          <t>T-CAPEX-001</t>
        </is>
      </c>
      <c r="G17" t="inlineStr">
        <is>
          <t>Purchases of property and equipment, net of proceeds from sales and incentives: &lt;mark&gt;$(102,953) million&lt;/mark&gt; for the six months ended June 30, 2026.</t>
        </is>
      </c>
      <c r="H17" t="inlineStr">
        <is>
          <t>截至2026年6月30日止六个月，购置物业与设备净额为1,029.53亿美元（现金流量表）。</t>
        </is>
      </c>
      <c r="I17" t="inlineStr">
        <is>
          <t>1H26 Capex（净）$102.95B</t>
        </is>
      </c>
      <c r="J17" t="inlineStr">
        <is>
          <t>数据摘自10-Q现金流量表；与FACT-20260916-002的TTM自由现金流口径互为印证。</t>
        </is>
      </c>
      <c r="L17" t="inlineStr">
        <is>
          <t>https://www.aboutamazon.com/news/company-news/amazon-earnings-q2-2026-report</t>
        </is>
      </c>
      <c r="P17" t="inlineStr">
        <is>
          <t>资本开支与现金流</t>
        </is>
      </c>
    </row>
    <row r="18">
      <c r="A18" t="inlineStr">
        <is>
          <t>FACT-20260917-017</t>
        </is>
      </c>
      <c r="B18" t="inlineStr">
        <is>
          <t>腾讯</t>
        </is>
      </c>
      <c r="C18" t="inlineStr">
        <is>
          <t>2026-09-17</t>
        </is>
      </c>
      <c r="D18" t="inlineStr">
        <is>
          <t>官方口径</t>
        </is>
      </c>
      <c r="F18" t="inlineStr">
        <is>
          <t>T-CN-001</t>
        </is>
      </c>
      <c r="H18" t="inlineStr">
        <is>
          <t>资本开支为人民币528亿元，同比增加176%。</t>
        </is>
      </c>
      <c r="I18" t="inlineStr">
        <is>
          <t>Capex 528亿 +176%（2026Q2）</t>
        </is>
      </c>
      <c r="J18" t="inlineStr">
        <is>
          <t>新闻稿口径为当季资本开支528亿元；公告现金流量表口径的资本开支付款为593亿元（含预付款项），两口径并存详见FACT-20260916-007。</t>
        </is>
      </c>
      <c r="L18" t="inlineStr">
        <is>
          <t>https://www1.hkexnews.hk/listedco/listconews/sehk/2026/0812/2026081200297_c.pdf</t>
        </is>
      </c>
      <c r="P18" t="inlineStr">
        <is>
          <t>资本开支与现金流</t>
        </is>
      </c>
    </row>
    <row r="19">
      <c r="A19" t="inlineStr">
        <is>
          <t>FACT-20260917-018</t>
        </is>
      </c>
      <c r="B19" t="inlineStr">
        <is>
          <t>腾讯</t>
        </is>
      </c>
      <c r="C19" t="inlineStr">
        <is>
          <t>2026-09-17</t>
        </is>
      </c>
      <c r="D19" t="inlineStr">
        <is>
          <t>官方口径</t>
        </is>
      </c>
      <c r="F19" t="inlineStr">
        <is>
          <t>T-CN-001</t>
        </is>
      </c>
      <c r="H19" t="inlineStr">
        <is>
          <t>营销服务收入持续增长，多款新游戏表现出色，微信视频号播放量快速增长。</t>
        </is>
      </c>
      <c r="I19" t="inlineStr">
        <is>
          <t>营销服务收入436亿元（+22%）</t>
        </is>
      </c>
      <c r="J19" t="inlineStr">
        <is>
          <t>定性表述摘自新闻稿；营销服务收入436亿元、同比+22%摘自新闻稿财务资料。</t>
        </is>
      </c>
      <c r="L19" t="inlineStr">
        <is>
          <t>https://www1.hkexnews.hk/listedco/listconews/sehk/2026/0812/2026081200297_c.pdf</t>
        </is>
      </c>
      <c r="P19" t="inlineStr">
        <is>
          <t>广告与商业化</t>
        </is>
      </c>
    </row>
    <row r="20">
      <c r="A20" t="inlineStr">
        <is>
          <t>FACT-20260917-019</t>
        </is>
      </c>
      <c r="B20" t="inlineStr">
        <is>
          <t>阿里</t>
        </is>
      </c>
      <c r="C20" t="inlineStr">
        <is>
          <t>2026-09-17</t>
        </is>
      </c>
      <c r="D20" t="inlineStr">
        <is>
          <t>官方口径</t>
        </is>
      </c>
      <c r="F20" t="inlineStr">
        <is>
          <t>T-CN-001</t>
        </is>
      </c>
      <c r="G20" t="inlineStr">
        <is>
          <t>Revenue from our AI Cloud and Compute Services in the quarter ended June 30, 2026 was &lt;mark&gt;RMB48,437 million (US$7,139 million), an increase of 45%&lt;/mark&gt; compared to RMB33,418 million in the same quarter of 2025, primarily driven by public cloud revenue growth.</t>
        </is>
      </c>
      <c r="H20" t="inlineStr">
        <is>
          <t>截至2026年6月30日止季度，AI云与算力服务收入为人民币484.37亿元（合71.39亿美元），同比增长45%，主要由公共云收入增长所驱动。</t>
        </is>
      </c>
      <c r="I20" t="inlineStr">
        <is>
          <t>AI云与算力 484.37亿 +45%</t>
        </is>
      </c>
      <c r="J20" t="inlineStr">
        <is>
          <t>公告口径：AI相关产品收入123.76亿元，连续第十二个季度三位数同比增长。</t>
        </is>
      </c>
      <c r="L20" t="inlineStr">
        <is>
          <t>https://www1.hkexnews.hk/listedco/listconews/sehk/2026/0820/2026082000746_c.pdf</t>
        </is>
      </c>
      <c r="P20" t="inlineStr">
        <is>
          <t>云与算力</t>
        </is>
      </c>
    </row>
    <row r="21">
      <c r="A21" t="inlineStr">
        <is>
          <t>FACT-20260917-020</t>
        </is>
      </c>
      <c r="B21" t="inlineStr">
        <is>
          <t>快手</t>
        </is>
      </c>
      <c r="C21" t="inlineStr">
        <is>
          <t>2026-09-17</t>
        </is>
      </c>
      <c r="D21" t="inlineStr">
        <is>
          <t>官方口径</t>
        </is>
      </c>
      <c r="F21" t="inlineStr">
        <is>
          <t>T-CN-001</t>
        </is>
      </c>
      <c r="G21" t="inlineStr">
        <is>
          <t>Kling AI further strengthened &lt;mark&gt;its global leadership in multimodal video generation&lt;/mark&gt;.</t>
        </is>
      </c>
      <c r="H21" t="inlineStr">
        <is>
          <t>可灵AI进一步巩固了其在多模态视频生成领域的全球领先地位。</t>
        </is>
      </c>
      <c r="I21" t="inlineStr">
        <is>
          <t>可灵AI季度收入超8.5亿元</t>
        </is>
      </c>
      <c r="J21" t="inlineStr">
        <is>
          <t>可灵AI收入超8.5亿元（同比+200%以上）据业绩公告及媒体口径；7月独立融资与估值为市场信息，不入本层。</t>
        </is>
      </c>
      <c r="L21" t="inlineStr">
        <is>
          <t>https://www1.hkexnews.hk/listedco/listconews/sehk/2026/0819/2026081900315_c.pdf</t>
        </is>
      </c>
      <c r="P21" t="inlineStr">
        <is>
          <t>AI产品与模型</t>
        </is>
      </c>
    </row>
    <row r="22">
      <c r="A22" t="inlineStr">
        <is>
          <t>FACT-20260917-021</t>
        </is>
      </c>
      <c r="B22" t="inlineStr">
        <is>
          <t>美团</t>
        </is>
      </c>
      <c r="C22" t="inlineStr">
        <is>
          <t>2026-09-17</t>
        </is>
      </c>
      <c r="D22" t="inlineStr">
        <is>
          <t>官方口径</t>
        </is>
      </c>
      <c r="F22" t="inlineStr">
        <is>
          <t>T-CN-001</t>
        </is>
      </c>
      <c r="H22" t="inlineStr">
        <is>
          <t>截至2026年6月30日止三個月：收入人民幣1,046.43億元，同比增長14.4%；期內溢利人民幣21.55億元，同比增長490.0%。（摘自業績公告摘要財務概要）</t>
        </is>
      </c>
      <c r="I22" t="inlineStr">
        <is>
          <t>收入1046亿 +14.4% · 期内溢利21.55亿 +490%</t>
        </is>
      </c>
      <c r="J22" t="inlineStr">
        <is>
          <t>研发开支（上半年）76.70亿元、同比+22.5%；分部经营溢利转正详见FACT-20260916-010。</t>
        </is>
      </c>
      <c r="L22" t="inlineStr">
        <is>
          <t>https://www1.hkexnews.hk/listedco/listconews/sehk/2026/0828/2026082800436_c.pdf</t>
        </is>
      </c>
      <c r="P22" t="inlineStr">
        <is>
          <t>业绩与收入结构</t>
        </is>
      </c>
    </row>
    <row r="23">
      <c r="A23" t="inlineStr">
        <is>
          <t>FACT-20260917-022</t>
        </is>
      </c>
      <c r="B23" t="inlineStr">
        <is>
          <t>智谱</t>
        </is>
      </c>
      <c r="C23" t="inlineStr">
        <is>
          <t>2026-09-17</t>
        </is>
      </c>
      <c r="D23" t="inlineStr">
        <is>
          <t>官方口径</t>
        </is>
      </c>
      <c r="F23" t="inlineStr">
        <is>
          <t>T-CN-001</t>
        </is>
      </c>
      <c r="G23" t="inlineStr">
        <is>
          <t>For the top ten customers by revenue, the average daily invocation volume soared &lt;mark&gt;98 times&lt;/mark&gt; from the beginning of 2026.</t>
        </is>
      </c>
      <c r="H23" t="inlineStr">
        <is>
          <t>以收入計的前十大用戶，日均調用量較年初增長98倍。</t>
        </is>
      </c>
      <c r="I23" t="inlineStr">
        <is>
          <t>MaaS用户740万(+144%) · 付费日活+603% · 调用量+98倍</t>
        </is>
      </c>
      <c r="J23" t="inlineStr">
        <is>
          <t>公告原文为「98倍」，部分媒体误写为「98%」；三组数字同向递增：用户变多、付费用户增长更快、重度付费用户用得更深。</t>
        </is>
      </c>
      <c r="L23" t="inlineStr">
        <is>
          <t>https://www1.hkexnews.hk/listedco/listconews/sehk/2026/0831/2026083101540_c.pdf</t>
        </is>
      </c>
      <c r="P23" t="inlineStr">
        <is>
          <t>用户与生态</t>
        </is>
      </c>
    </row>
    <row r="24">
      <c r="A24" t="inlineStr">
        <is>
          <t>FACT-20260917-023</t>
        </is>
      </c>
      <c r="B24" t="inlineStr">
        <is>
          <t>智谱</t>
        </is>
      </c>
      <c r="C24" t="inlineStr">
        <is>
          <t>2026-09-17</t>
        </is>
      </c>
      <c r="D24" t="inlineStr">
        <is>
          <t>官方口径</t>
        </is>
      </c>
      <c r="F24" t="inlineStr">
        <is>
          <t>T-CN-001</t>
        </is>
      </c>
      <c r="H24" t="inlineStr">
        <is>
          <t>算力乘數－每投入人民幣1元算力（含訓練與推理）所對應的開放平台及API收入－較去年同期提升約14倍。</t>
        </is>
      </c>
      <c r="I24" t="inlineStr">
        <is>
          <t>算力乘数 同比+14倍</t>
        </is>
      </c>
      <c r="J24" t="inlineStr">
        <is>
          <t>公司自造指标，用于把算力投入与API收入挂钩；卖方按该指标跟踪投入转化效率。</t>
        </is>
      </c>
      <c r="L24" t="inlineStr">
        <is>
          <t>https://www1.hkexnews.hk/listedco/listconews/sehk/2026/0831/2026083101540_c.pdf</t>
        </is>
      </c>
      <c r="P24" t="inlineStr">
        <is>
          <t>云与算力</t>
        </is>
      </c>
    </row>
    <row r="25">
      <c r="A25" t="inlineStr">
        <is>
          <t>FACT-20260917-024</t>
        </is>
      </c>
      <c r="B25" t="inlineStr">
        <is>
          <t>MiniMax</t>
        </is>
      </c>
      <c r="C25" t="inlineStr">
        <is>
          <t>2026-09-17</t>
        </is>
      </c>
      <c r="D25" t="inlineStr">
        <is>
          <t>官方口径</t>
        </is>
      </c>
      <c r="F25" t="inlineStr">
        <is>
          <t>T-CN-001</t>
        </is>
      </c>
      <c r="H25" t="inlineStr">
        <is>
          <t>截至2026年6月30日止六個月，我們的總收入同比增長283.1%，由30.4百萬美元增至116.6百萬美元，超過2025年全年79.0百萬美元的總收入。</t>
        </is>
      </c>
      <c r="I25" t="inlineStr">
        <is>
          <t>1H26收入$1.166亿 +283.1% · 开放平台占63.4%</t>
        </is>
      </c>
      <c r="J25" t="inlineStr">
        <is>
          <t>开放平台及AI企业服务收入7,390万美元（+703.1%）；AI原生产品4,260万美元（+100.9%）。</t>
        </is>
      </c>
      <c r="L25" t="inlineStr">
        <is>
          <t>https://www1.hkexnews.hk/listedco/listconews/sehk/2026/0826/2026082600681_c.pdf</t>
        </is>
      </c>
      <c r="P25" t="inlineStr">
        <is>
          <t>业绩与收入结构</t>
        </is>
      </c>
    </row>
    <row r="26">
      <c r="A26" t="inlineStr">
        <is>
          <t>FACT-20260917-025</t>
        </is>
      </c>
      <c r="B26" t="inlineStr">
        <is>
          <t>MiniMax</t>
        </is>
      </c>
      <c r="C26" t="inlineStr">
        <is>
          <t>2026-09-17</t>
        </is>
      </c>
      <c r="D26" t="inlineStr">
        <is>
          <t>官方口径</t>
        </is>
      </c>
      <c r="F26" t="inlineStr">
        <is>
          <t>T-CN-001</t>
        </is>
      </c>
      <c r="H26" t="inlineStr">
        <is>
          <t>我們的毛利率由截至2025年6月30日止六個月的12.1%增加至截至2026年6月30日止六個月的17.9%，主要受到基礎設施效率提升所推動。</t>
        </is>
      </c>
      <c r="I26" t="inlineStr">
        <is>
          <t>毛利率17.9% · 经调整净亏损$2.93亿</t>
        </is>
      </c>
      <c r="J26" t="inlineStr">
        <is>
          <t>经调整净亏损（非IFRS计量）293.0百万美元，上年同期138.7百万美元；研发开支同比+138.8%，低于收入增速。</t>
        </is>
      </c>
      <c r="L26" t="inlineStr">
        <is>
          <t>https://www1.hkexnews.hk/listedco/listconews/sehk/2026/0826/2026082600681_c.pdf</t>
        </is>
      </c>
      <c r="P26" t="inlineStr">
        <is>
          <t>业绩与收入结构</t>
        </is>
      </c>
    </row>
    <row r="27">
      <c r="A27" t="inlineStr">
        <is>
          <t>FACT-20260917-026</t>
        </is>
      </c>
      <c r="B27" t="inlineStr">
        <is>
          <t>Meta</t>
        </is>
      </c>
      <c r="C27" t="inlineStr">
        <is>
          <t>2026-09-17</t>
        </is>
      </c>
      <c r="D27" t="inlineStr">
        <is>
          <t>官方口径</t>
        </is>
      </c>
      <c r="F27" t="inlineStr">
        <is>
          <t>T-CAPEX-001</t>
        </is>
      </c>
      <c r="H27" t="inlineStr">
        <is>
          <t>二零二六年第二季度总收入608.0亿美元，同比+28%（固定汇率+27%）；第三季度收入指引610–640亿美元。</t>
        </is>
      </c>
      <c r="I27" t="inlineStr">
        <is>
          <t>Revenue $60.8B +28% · Q3指引 $61-64B</t>
        </is>
      </c>
      <c r="J27" t="inlineStr">
        <is>
          <t>官方披露数字，英文原文对照待补</t>
        </is>
      </c>
      <c r="L27" t="inlineStr">
        <is>
          <t>https://about.fb.com/news/2026/09/introducing-muse-personal-ai-agent/</t>
        </is>
      </c>
      <c r="P27" t="inlineStr">
        <is>
          <t>业绩与收入结构</t>
        </is>
      </c>
    </row>
    <row r="28">
      <c r="A28" t="inlineStr">
        <is>
          <t>FACT-20260917-027</t>
        </is>
      </c>
      <c r="B28" t="inlineStr">
        <is>
          <t>Meta</t>
        </is>
      </c>
      <c r="C28" t="inlineStr">
        <is>
          <t>2026-09-17</t>
        </is>
      </c>
      <c r="D28" t="inlineStr">
        <is>
          <t>官方口径</t>
        </is>
      </c>
      <c r="F28" t="inlineStr">
        <is>
          <t>T-CAPEX-001</t>
        </is>
      </c>
      <c r="H28" t="inlineStr">
        <is>
          <t>应用家族日活跃人口（DAP）36.0亿，官方口径同比+3%；每人均收入（ARPP）16.86美元。</t>
        </is>
      </c>
      <c r="I28" t="inlineStr">
        <is>
          <t>DAP 36.0亿 +3% · ARPP $16.86</t>
        </is>
      </c>
      <c r="J28" t="inlineStr">
        <is>
          <t>官方披露数字，英文原文对照待补</t>
        </is>
      </c>
      <c r="L28" t="inlineStr">
        <is>
          <t>https://about.fb.com/news/2026/09/introducing-muse-personal-ai-agent/</t>
        </is>
      </c>
      <c r="P28" t="inlineStr">
        <is>
          <t>用户与生态</t>
        </is>
      </c>
    </row>
    <row r="29">
      <c r="A29" t="inlineStr">
        <is>
          <t>FACT-20260917-028</t>
        </is>
      </c>
      <c r="B29" t="inlineStr">
        <is>
          <t>Meta</t>
        </is>
      </c>
      <c r="C29" t="inlineStr">
        <is>
          <t>2026-09-17</t>
        </is>
      </c>
      <c r="D29" t="inlineStr">
        <is>
          <t>官方口径</t>
        </is>
      </c>
      <c r="F29" t="inlineStr">
        <is>
          <t>T-ADS-001</t>
        </is>
      </c>
      <c r="H29" t="inlineStr">
        <is>
          <t>广告展示量同比+14%，单条广告均价同比+12%，为Meta财报披露的唯一量价指标对；量价为因果联动关系（展示量增长摊薄单价基准）。</t>
        </is>
      </c>
      <c r="I29" t="inlineStr">
        <is>
          <t>展示量+14% × 单价+12%</t>
        </is>
      </c>
      <c r="J29" t="inlineStr">
        <is>
          <t>官方披露数字；量价因果口径见看板口径注记</t>
        </is>
      </c>
      <c r="L29" t="inlineStr">
        <is>
          <t>https://about.fb.com/news/2026/09/introducing-muse-personal-ai-agent/</t>
        </is>
      </c>
      <c r="P29" t="inlineStr">
        <is>
          <t>广告与商业化</t>
        </is>
      </c>
    </row>
    <row r="30">
      <c r="A30" t="inlineStr">
        <is>
          <t>FACT-20260917-029</t>
        </is>
      </c>
      <c r="B30" t="inlineStr">
        <is>
          <t>Meta</t>
        </is>
      </c>
      <c r="C30" t="inlineStr">
        <is>
          <t>2026-09-17</t>
        </is>
      </c>
      <c r="D30" t="inlineStr">
        <is>
          <t>官方口径</t>
        </is>
      </c>
      <c r="F30" t="inlineStr">
        <is>
          <t>T-CAPEX-001</t>
        </is>
      </c>
      <c r="H30" t="inlineStr">
        <is>
          <t>第二季度资本开支310.8亿美元；自由现金流7.84亿美元。</t>
        </is>
      </c>
      <c r="I30" t="inlineStr">
        <is>
          <t>Capex $31.08B · FCF $0.784B</t>
        </is>
      </c>
      <c r="J30" t="inlineStr">
        <is>
          <t>官方披露数字，英文原文对照待补</t>
        </is>
      </c>
      <c r="L30" t="inlineStr">
        <is>
          <t>https://about.fb.com/news/2026/09/introducing-muse-personal-ai-agent/</t>
        </is>
      </c>
      <c r="P30" t="inlineStr">
        <is>
          <t>资本开支与现金流</t>
        </is>
      </c>
    </row>
    <row r="31">
      <c r="A31" t="inlineStr">
        <is>
          <t>FACT-20260917-030</t>
        </is>
      </c>
      <c r="B31" t="inlineStr">
        <is>
          <t>Google</t>
        </is>
      </c>
      <c r="C31" t="inlineStr">
        <is>
          <t>2026-09-17</t>
        </is>
      </c>
      <c r="D31" t="inlineStr">
        <is>
          <t>官方口径</t>
        </is>
      </c>
      <c r="F31" t="inlineStr">
        <is>
          <t>T-AIO-001</t>
        </is>
      </c>
      <c r="H31" t="inlineStr">
        <is>
          <t>付费点击量同比+13%，付费点击成本（CPC）同比+3%，口径仅覆盖Google搜索及其他；AI Overviews/AI Mode未单独披露收入。</t>
        </is>
      </c>
      <c r="I31" t="inlineStr">
        <is>
          <t>付费点击+13% × CPC +3%</t>
        </is>
      </c>
      <c r="J31" t="inlineStr">
        <is>
          <t>10-Q量价口径，英文原文对照待补</t>
        </is>
      </c>
      <c r="L31" t="inlineStr">
        <is>
          <t>https://blog.google/products/ads-commerce/dsa-upgrade-to-ai-max-2026/</t>
        </is>
      </c>
      <c r="P31" t="inlineStr">
        <is>
          <t>广告与商业化</t>
        </is>
      </c>
    </row>
    <row r="32">
      <c r="A32" t="inlineStr">
        <is>
          <t>FACT-20260917-031</t>
        </is>
      </c>
      <c r="B32" t="inlineStr">
        <is>
          <t>Google</t>
        </is>
      </c>
      <c r="C32" t="inlineStr">
        <is>
          <t>2026-09-17</t>
        </is>
      </c>
      <c r="D32" t="inlineStr">
        <is>
          <t>官方口径</t>
        </is>
      </c>
      <c r="F32" t="inlineStr">
        <is>
          <t>T-CAPEX-001</t>
        </is>
      </c>
      <c r="H32" t="inlineStr">
        <is>
          <t>单季资本开支449亿美元；单季自由现金流-59亿美元；全年资本开支指引1,950–2,050亿美元。</t>
        </is>
      </c>
      <c r="I32" t="inlineStr">
        <is>
          <t>Capex $44.9B · FCF -$5.9B · 全年指引 $195-205B</t>
        </is>
      </c>
      <c r="J32" t="inlineStr">
        <is>
          <t>官方披露数字，英文原文对照待补</t>
        </is>
      </c>
      <c r="L32" t="inlineStr">
        <is>
          <t>https://blog.google/products/ads-commerce/dsa-upgrade-to-ai-max-2026/</t>
        </is>
      </c>
      <c r="P32" t="inlineStr">
        <is>
          <t>资本开支与现金流</t>
        </is>
      </c>
    </row>
    <row r="33">
      <c r="A33" t="inlineStr">
        <is>
          <t>FACT-20260917-032</t>
        </is>
      </c>
      <c r="B33" t="inlineStr">
        <is>
          <t>Amazon</t>
        </is>
      </c>
      <c r="C33" t="inlineStr">
        <is>
          <t>2026-09-17</t>
        </is>
      </c>
      <c r="D33" t="inlineStr">
        <is>
          <t>官方口径</t>
        </is>
      </c>
      <c r="F33" t="inlineStr">
        <is>
          <t>T-CAPEX-001</t>
        </is>
      </c>
      <c r="H33" t="inlineStr">
        <is>
          <t>AWS的AI业务年化收入超过250亿美元；自研芯片年化收入超过250亿美元，同比三位数增长。</t>
        </is>
      </c>
      <c r="I33" t="inlineStr">
        <is>
          <t>AWS AI年化&gt;$25B · 芯片年化&gt;$25B</t>
        </is>
      </c>
      <c r="J33" t="inlineStr">
        <is>
          <t>官方披露数字，英文原文对照待补</t>
        </is>
      </c>
      <c r="L33" t="inlineStr">
        <is>
          <t>https://www.sec.gov/Archives/edgar/data/1018724/000101872426000024/amzn-20260630xex991.htm</t>
        </is>
      </c>
      <c r="P33" t="inlineStr">
        <is>
          <t>云与算力</t>
        </is>
      </c>
    </row>
    <row r="34">
      <c r="A34" t="inlineStr">
        <is>
          <t>FACT-20260917-033</t>
        </is>
      </c>
      <c r="B34" t="inlineStr">
        <is>
          <t>Amazon</t>
        </is>
      </c>
      <c r="C34" t="inlineStr">
        <is>
          <t>2026-09-17</t>
        </is>
      </c>
      <c r="D34" t="inlineStr">
        <is>
          <t>官方口径</t>
        </is>
      </c>
      <c r="F34" t="inlineStr">
        <is>
          <t>T-CAPEX-001</t>
        </is>
      </c>
      <c r="H34" t="inlineStr">
        <is>
          <t>Bedrock新增OpenAI GPT-5.6、Claude Opus 5、Gemma 4、Grok 4.3等模型，第二季度客户支出超过此前各季总和；Trainium获得Anthropic与OpenAI多年期多吉瓦级承诺；Graviton5正式可用，Top 1000 EC2客户中98%在用。</t>
        </is>
      </c>
      <c r="I34" t="inlineStr">
        <is>
          <t>Bedrock支出破纪录 · Trainium多GW承诺</t>
        </is>
      </c>
      <c r="J34" t="inlineStr">
        <is>
          <t>官方披露数字，英文原文对照待补</t>
        </is>
      </c>
      <c r="L34" t="inlineStr">
        <is>
          <t>https://www.sec.gov/Archives/edgar/data/1018724/000101872426000024/amzn-20260630xex991.htm</t>
        </is>
      </c>
      <c r="P34" t="inlineStr">
        <is>
          <t>AI产品与模型</t>
        </is>
      </c>
    </row>
    <row r="35">
      <c r="A35" t="inlineStr">
        <is>
          <t>FACT-20260917-034</t>
        </is>
      </c>
      <c r="B35" t="inlineStr">
        <is>
          <t>Amazon</t>
        </is>
      </c>
      <c r="C35" t="inlineStr">
        <is>
          <t>2026-09-17</t>
        </is>
      </c>
      <c r="D35" t="inlineStr">
        <is>
          <t>官方口径</t>
        </is>
      </c>
      <c r="F35" t="inlineStr">
        <is>
          <t>T-CAPEX-001</t>
        </is>
      </c>
      <c r="H35" t="inlineStr">
        <is>
          <t>第二季度总净销售2,006亿美元，同比+19.5%；广告服务收入198.1亿美元，同比+26%（七类收入表口径，计入北美与国际分部）。</t>
        </is>
      </c>
      <c r="I35" t="inlineStr">
        <is>
          <t>Net sales $200.6B +19.5% · Ads $19.81B +26%</t>
        </is>
      </c>
      <c r="J35" t="inlineStr">
        <is>
          <t>官方披露数字，英文原文对照待补</t>
        </is>
      </c>
      <c r="L35" t="inlineStr">
        <is>
          <t>https://www.sec.gov/Archives/edgar/data/1018724/000101872426000024/amzn-20260630xex991.htm</t>
        </is>
      </c>
      <c r="P35" t="inlineStr">
        <is>
          <t>业绩与收入结构</t>
        </is>
      </c>
    </row>
    <row r="36">
      <c r="A36" t="inlineStr">
        <is>
          <t>FACT-20260917-035</t>
        </is>
      </c>
      <c r="B36" t="inlineStr">
        <is>
          <t>Microsoft</t>
        </is>
      </c>
      <c r="C36" t="inlineStr">
        <is>
          <t>2026-09-17</t>
        </is>
      </c>
      <c r="D36" t="inlineStr">
        <is>
          <t>官方口径</t>
        </is>
      </c>
      <c r="F36" t="inlineStr">
        <is>
          <t>T-CAPEX-001</t>
        </is>
      </c>
      <c r="H36" t="inlineStr">
        <is>
          <t>Foundry客户达10万家、收入同比翻倍以上；年化1万亿token量级客户数同比增4倍；Agent 365上线两个月注册Agent近4,000万；GitHub Copilot用户5,000万。</t>
        </is>
      </c>
      <c r="I36" t="inlineStr">
        <is>
          <t>Foundry 100k客户 · Agent 365 40M · GH Copilot 50M</t>
        </is>
      </c>
      <c r="J36" t="inlineStr">
        <is>
          <t>业绩会纪要口径</t>
        </is>
      </c>
      <c r="L36" t="inlineStr">
        <is>
          <t>https://www.microsoft.com/en-us/investor/earnings/fy-2026-q4/press-release-webcast</t>
        </is>
      </c>
      <c r="P36" t="inlineStr">
        <is>
          <t>AI产品与模型</t>
        </is>
      </c>
    </row>
    <row r="37">
      <c r="A37" t="inlineStr">
        <is>
          <t>FACT-20260917-036</t>
        </is>
      </c>
      <c r="B37" t="inlineStr">
        <is>
          <t>Microsoft</t>
        </is>
      </c>
      <c r="C37" t="inlineStr">
        <is>
          <t>2026-09-17</t>
        </is>
      </c>
      <c r="D37" t="inlineStr">
        <is>
          <t>官方口径</t>
        </is>
      </c>
      <c r="F37" t="inlineStr">
        <is>
          <t>T-CAPEX-001</t>
        </is>
      </c>
      <c r="H37" t="inlineStr">
        <is>
          <t>Microsoft 365 Copilot付费席位超过3,000万，净增席位环比翻倍以上；将Copilot部署给多数信息工作者的企业客户数环比增长约75%。</t>
        </is>
      </c>
      <c r="I37" t="inlineStr">
        <is>
          <t>M365 Copilot &gt;30M席位 · 部署企业+75%</t>
        </is>
      </c>
      <c r="J37" t="inlineStr">
        <is>
          <t>业绩会纪要口径</t>
        </is>
      </c>
      <c r="L37" t="inlineStr">
        <is>
          <t>https://www.microsoft.com/en-us/investor/earnings/fy-2026-q4/press-release-webcast</t>
        </is>
      </c>
      <c r="P37" t="inlineStr">
        <is>
          <t>用户与生态</t>
        </is>
      </c>
    </row>
    <row r="38">
      <c r="A38" t="inlineStr">
        <is>
          <t>FACT-20260917-037</t>
        </is>
      </c>
      <c r="B38" t="inlineStr">
        <is>
          <t>Microsoft</t>
        </is>
      </c>
      <c r="C38" t="inlineStr">
        <is>
          <t>2026-09-17</t>
        </is>
      </c>
      <c r="D38" t="inlineStr">
        <is>
          <t>官方口径</t>
        </is>
      </c>
      <c r="F38" t="inlineStr">
        <is>
          <t>T-CAPEX-001</t>
        </is>
      </c>
      <c r="H38" t="inlineStr">
        <is>
          <t>FY26Q4总收入900.1亿美元，同比+18%；Microsoft Cloud收入593亿美元，+27%（FY26全年2,144亿）；剩余履约义务（RPO）6,780亿美元，+84%。</t>
        </is>
      </c>
      <c r="I38" t="inlineStr">
        <is>
          <t>Rev $90.0B +18% · Cloud $59.3B +27% · RPO $678B +84%</t>
        </is>
      </c>
      <c r="J38" t="inlineStr">
        <is>
          <t>官方披露数字，英文原文对照待补</t>
        </is>
      </c>
      <c r="L38" t="inlineStr">
        <is>
          <t>https://www.microsoft.com/en-us/investor/earnings/fy-2026-q4/press-release-webcast</t>
        </is>
      </c>
      <c r="P38" t="inlineStr">
        <is>
          <t>业绩与收入结构</t>
        </is>
      </c>
    </row>
    <row r="39">
      <c r="A39" t="inlineStr">
        <is>
          <t>FACT-20260917-038</t>
        </is>
      </c>
      <c r="B39" t="inlineStr">
        <is>
          <t>Microsoft</t>
        </is>
      </c>
      <c r="C39" t="inlineStr">
        <is>
          <t>2026-09-17</t>
        </is>
      </c>
      <c r="D39" t="inlineStr">
        <is>
          <t>官方口径</t>
        </is>
      </c>
      <c r="F39" t="inlineStr">
        <is>
          <t>T-CAPEX-001</t>
        </is>
      </c>
      <c r="H39" t="inlineStr">
        <is>
          <t>FY27起数据中心折旧年限由15年延至25年；日历年2026年资本开支口径相应调整为约1,750亿美元。</t>
        </is>
      </c>
      <c r="I39" t="inlineStr">
        <is>
          <t>折旧15→25年 · CY26 Capex口径≈$175B</t>
        </is>
      </c>
      <c r="J39" t="inlineStr">
        <is>
          <t>业绩会纪要口径</t>
        </is>
      </c>
      <c r="L39" t="inlineStr">
        <is>
          <t>https://www.microsoft.com/en-us/investor/earnings/fy-2026-q4/press-release-webcast</t>
        </is>
      </c>
      <c r="P39" t="inlineStr">
        <is>
          <t>资本开支与现金流</t>
        </is>
      </c>
    </row>
    <row r="40">
      <c r="A40" t="inlineStr">
        <is>
          <t>FACT-20260917-039</t>
        </is>
      </c>
      <c r="B40" t="inlineStr">
        <is>
          <t>腾讯</t>
        </is>
      </c>
      <c r="C40" t="inlineStr">
        <is>
          <t>2026-09-17</t>
        </is>
      </c>
      <c r="D40" t="inlineStr">
        <is>
          <t>官方口径</t>
        </is>
      </c>
      <c r="F40" t="inlineStr">
        <is>
          <t>T-CN-001</t>
        </is>
      </c>
      <c r="H40" t="inlineStr">
        <is>
          <t>第二季度收入2,047.9亿元，同比+11%；毛利1,184.3亿元，+13%（毛利率57.8%）。剔除新AI产品影响，Non-IFRS经营盈利同比+19%至861亿元；计入后+9%至756亿元，新AI产品单季拉低利润约105亿元。</t>
        </is>
      </c>
      <c r="I40" t="inlineStr">
        <is>
          <t>Rev 2,047.9亿+11% · AI拉低利润约105亿</t>
        </is>
      </c>
      <c r="J40" t="inlineStr">
        <is>
          <t>官方披露数字+业绩会口径</t>
        </is>
      </c>
      <c r="L40" t="inlineStr">
        <is>
          <t>https://www1.hkexnews.hk/listedco/listconews/sehk/2026/0812/2026081200297_c.pdf</t>
        </is>
      </c>
      <c r="P40" t="inlineStr">
        <is>
          <t>业绩与收入结构</t>
        </is>
      </c>
    </row>
    <row r="41">
      <c r="A41" t="inlineStr">
        <is>
          <t>FACT-20260917-040</t>
        </is>
      </c>
      <c r="B41" t="inlineStr">
        <is>
          <t>腾讯</t>
        </is>
      </c>
      <c r="C41" t="inlineStr">
        <is>
          <t>2026-09-17</t>
        </is>
      </c>
      <c r="D41" t="inlineStr">
        <is>
          <t>官方口径</t>
        </is>
      </c>
      <c r="F41" t="inlineStr">
        <is>
          <t>T-CN-001</t>
        </is>
      </c>
      <c r="H41" t="inlineStr">
        <is>
          <t>混元Hy3正式发布；微信AI助手"小微"6月起灰度测试（业绩会口径）；办公Agent WorkBuddy PC端月访问量2,097万，居国内AI办公智能体第一（据公开报道整理）。</t>
        </is>
      </c>
      <c r="I41" t="inlineStr">
        <is>
          <t>混元Hy3发布 · 小微灰度 · WorkBuddy 2,097万</t>
        </is>
      </c>
      <c r="J41" t="inlineStr">
        <is>
          <t>混合口径：官方发布+业绩会+公开报道</t>
        </is>
      </c>
      <c r="L41" t="inlineStr">
        <is>
          <t>https://www1.hkexnews.hk/listedco/listconews/sehk/2026/0812/2026081200297_c.pdf</t>
        </is>
      </c>
      <c r="P41" t="inlineStr">
        <is>
          <t>AI产品与模型</t>
        </is>
      </c>
    </row>
    <row r="42">
      <c r="A42" t="inlineStr">
        <is>
          <t>FACT-20260917-041</t>
        </is>
      </c>
      <c r="B42" t="inlineStr">
        <is>
          <t>腾讯</t>
        </is>
      </c>
      <c r="C42" t="inlineStr">
        <is>
          <t>2026-09-17</t>
        </is>
      </c>
      <c r="D42" t="inlineStr">
        <is>
          <t>官方口径</t>
        </is>
      </c>
      <c r="F42" t="inlineStr">
        <is>
          <t>T-CN-001</t>
        </is>
      </c>
      <c r="H42" t="inlineStr">
        <is>
          <t>视频号广告加载率约4–5%（业绩会口径），相对同行仍有提升空间。</t>
        </is>
      </c>
      <c r="I42" t="inlineStr">
        <is>
          <t>视频号ad load约4-5%</t>
        </is>
      </c>
      <c r="J42" t="inlineStr">
        <is>
          <t>业绩会口径</t>
        </is>
      </c>
      <c r="L42" t="inlineStr">
        <is>
          <t>https://www1.hkexnews.hk/listedco/listconews/sehk/2026/0812/2026081200297_c.pdf</t>
        </is>
      </c>
      <c r="P42" t="inlineStr">
        <is>
          <t>广告与商业化</t>
        </is>
      </c>
    </row>
    <row r="43">
      <c r="A43" t="inlineStr">
        <is>
          <t>FACT-20260917-042</t>
        </is>
      </c>
      <c r="B43" t="inlineStr">
        <is>
          <t>阿里</t>
        </is>
      </c>
      <c r="C43" t="inlineStr">
        <is>
          <t>2026-09-17</t>
        </is>
      </c>
      <c r="D43" t="inlineStr">
        <is>
          <t>官方口径</t>
        </is>
      </c>
      <c r="F43" t="inlineStr">
        <is>
          <t>T-CN-001</t>
        </is>
      </c>
      <c r="H43" t="inlineStr">
        <is>
          <t>FY2027Q1（2026年4-6月）集团收入2,689.5亿元，同比+9%（抵销后）。</t>
        </is>
      </c>
      <c r="I43" t="inlineStr">
        <is>
          <t>Rev 2,689.5亿 +9%</t>
        </is>
      </c>
      <c r="J43" t="inlineStr">
        <is>
          <t>官方披露数字</t>
        </is>
      </c>
      <c r="L43" t="inlineStr">
        <is>
          <t>https://www1.hkexnews.hk/listedco/listconews/sehk/2026/0820/2026082000746_c.pdf</t>
        </is>
      </c>
      <c r="P43" t="inlineStr">
        <is>
          <t>业绩与收入结构</t>
        </is>
      </c>
    </row>
    <row r="44">
      <c r="A44" t="inlineStr">
        <is>
          <t>FACT-20260917-043</t>
        </is>
      </c>
      <c r="B44" t="inlineStr">
        <is>
          <t>阿里</t>
        </is>
      </c>
      <c r="C44" t="inlineStr">
        <is>
          <t>2026-09-17</t>
        </is>
      </c>
      <c r="D44" t="inlineStr">
        <is>
          <t>官方口径</t>
        </is>
      </c>
      <c r="F44" t="inlineStr">
        <is>
          <t>T-CN-001</t>
        </is>
      </c>
      <c r="H44" t="inlineStr">
        <is>
          <t>AI相关产品收入123.76亿元，占云外部收入35%，连续12个季度三位数增长；AI相关产品ARR约495亿元，管理层预计下季度接近100亿美元（电话会口径）。</t>
        </is>
      </c>
      <c r="I44" t="inlineStr">
        <is>
          <t>AI收入123.76亿 · ARR≈495亿→≈$10B</t>
        </is>
      </c>
      <c r="J44" t="inlineStr">
        <is>
          <t>官方披露数字+管理层指引</t>
        </is>
      </c>
      <c r="L44" t="inlineStr">
        <is>
          <t>https://www1.hkexnews.hk/listedco/listconews/sehk/2026/0820/2026082000746_c.pdf</t>
        </is>
      </c>
      <c r="P44" t="inlineStr">
        <is>
          <t>AI产品与模型</t>
        </is>
      </c>
    </row>
    <row r="45">
      <c r="A45" t="inlineStr">
        <is>
          <t>FACT-20260917-044</t>
        </is>
      </c>
      <c r="B45" t="inlineStr">
        <is>
          <t>阿里</t>
        </is>
      </c>
      <c r="C45" t="inlineStr">
        <is>
          <t>2026-09-17</t>
        </is>
      </c>
      <c r="D45" t="inlineStr">
        <is>
          <t>官方口径</t>
        </is>
      </c>
      <c r="F45" t="inlineStr">
        <is>
          <t>T-CN-001</t>
        </is>
      </c>
      <c r="H45" t="inlineStr">
        <is>
          <t>三年3,800亿元AI投入计划已累计投入约1,900亿元；拟港股配售800亿港元，全部用于全栈AI投入。</t>
        </is>
      </c>
      <c r="I45" t="inlineStr">
        <is>
          <t>3,800亿计划已投≈1,900亿 · 配售800亿港元</t>
        </is>
      </c>
      <c r="J45" t="inlineStr">
        <is>
          <t>官方披露数字</t>
        </is>
      </c>
      <c r="L45" t="inlineStr">
        <is>
          <t>https://www1.hkexnews.hk/listedco/listconews/sehk/2026/0820/2026082000746_c.pdf</t>
        </is>
      </c>
      <c r="P45" t="inlineStr">
        <is>
          <t>资本开支与现金流</t>
        </is>
      </c>
    </row>
    <row r="46">
      <c r="A46" t="inlineStr">
        <is>
          <t>FACT-20260917-045</t>
        </is>
      </c>
      <c r="B46" t="inlineStr">
        <is>
          <t>阿里</t>
        </is>
      </c>
      <c r="C46" t="inlineStr">
        <is>
          <t>2026-09-17</t>
        </is>
      </c>
      <c r="D46" t="inlineStr">
        <is>
          <t>官方口径</t>
        </is>
      </c>
      <c r="F46" t="inlineStr">
        <is>
          <t>T-CN-001</t>
        </is>
      </c>
      <c r="H46" t="inlineStr">
        <is>
          <t>AI实验室与应用分部收入33.38亿元，+16%，经调整EBITA亏损138.61亿元，主因千问App推理成本与AI投入；吴泳铭称AI算力资本开支三年内回本，有望缩短至2.5年甚至2年。</t>
        </is>
      </c>
      <c r="I46" t="inlineStr">
        <is>
          <t>AI实验室亏损138.61亿 · Capex回本≤3年</t>
        </is>
      </c>
      <c r="J46" t="inlineStr">
        <is>
          <t>电话会口径</t>
        </is>
      </c>
      <c r="L46" t="inlineStr">
        <is>
          <t>https://www1.hkexnews.hk/listedco/listconews/sehk/2026/0820/2026082000746_c.pdf</t>
        </is>
      </c>
      <c r="P46" t="inlineStr">
        <is>
          <t>AI产品与模型</t>
        </is>
      </c>
    </row>
    <row r="47">
      <c r="A47" t="inlineStr">
        <is>
          <t>FACT-20260917-046</t>
        </is>
      </c>
      <c r="B47" t="inlineStr">
        <is>
          <t>快手</t>
        </is>
      </c>
      <c r="C47" t="inlineStr">
        <is>
          <t>2026-09-17</t>
        </is>
      </c>
      <c r="D47" t="inlineStr">
        <is>
          <t>官方口径</t>
        </is>
      </c>
      <c r="F47" t="inlineStr">
        <is>
          <t>T-CN-001</t>
        </is>
      </c>
      <c r="H47" t="inlineStr">
        <is>
          <t>线上营销服务收入206.39亿元，+4.4%；直播86.9亿元，-13.5%；其他服务（含电商）62.06亿元，+18.5%；经调整净利润39.13亿元，-30.3%。</t>
        </is>
      </c>
      <c r="I47" t="inlineStr">
        <is>
          <t>营销206.4亿+4.4% · 直播86.9亿-13.5% · 净利39.1亿-30.3%</t>
        </is>
      </c>
      <c r="J47" t="inlineStr">
        <is>
          <t>官方披露数字</t>
        </is>
      </c>
      <c r="L47" t="inlineStr">
        <is>
          <t>https://www1.hkexnews.hk/listedco/listconews/sehk/2026/0819/2026081900315_c.pdf</t>
        </is>
      </c>
      <c r="P47" t="inlineStr">
        <is>
          <t>业绩与收入结构</t>
        </is>
      </c>
    </row>
    <row r="48">
      <c r="A48" t="inlineStr">
        <is>
          <t>FACT-20260917-047</t>
        </is>
      </c>
      <c r="B48" t="inlineStr">
        <is>
          <t>快手</t>
        </is>
      </c>
      <c r="C48" t="inlineStr">
        <is>
          <t>2026-09-17</t>
        </is>
      </c>
      <c r="D48" t="inlineStr">
        <is>
          <t>官方口径</t>
        </is>
      </c>
      <c r="F48" t="inlineStr">
        <is>
          <t>T-CN-001</t>
        </is>
      </c>
      <c r="H48" t="inlineStr">
        <is>
          <t>平均日活跃用户4.123亿；单DAU线上营销收入50.1元/季，+3.7%（官方恒等式口径：DAU×单DAU营销收入）。</t>
        </is>
      </c>
      <c r="I48" t="inlineStr">
        <is>
          <t>DAU 4.123亿 · 单DAU营销50.1元+3.7%</t>
        </is>
      </c>
      <c r="J48" t="inlineStr">
        <is>
          <t>官方披露数字</t>
        </is>
      </c>
      <c r="L48" t="inlineStr">
        <is>
          <t>https://www1.hkexnews.hk/listedco/listconews/sehk/2026/0819/2026081900315_c.pdf</t>
        </is>
      </c>
      <c r="P48" t="inlineStr">
        <is>
          <t>用户与生态</t>
        </is>
      </c>
    </row>
    <row r="49">
      <c r="A49" t="inlineStr">
        <is>
          <t>FACT-20260917-048</t>
        </is>
      </c>
      <c r="B49" t="inlineStr">
        <is>
          <t>快手</t>
        </is>
      </c>
      <c r="C49" t="inlineStr">
        <is>
          <t>2026-09-17</t>
        </is>
      </c>
      <c r="D49" t="inlineStr">
        <is>
          <t>官方口径</t>
        </is>
      </c>
      <c r="F49" t="inlineStr">
        <is>
          <t>T-CN-001</t>
        </is>
      </c>
      <c r="H49" t="inlineStr">
        <is>
          <t>可灵AI 7月完成近30亿美元独立融资，投后估值约180亿美元，快手保留控股权；3.0系列推出业内首个原生4K视频直出。</t>
        </is>
      </c>
      <c r="I49" t="inlineStr">
        <is>
          <t>可灵融资≈$3B · 投后≈$18B · 4K直出</t>
        </is>
      </c>
      <c r="J49" t="inlineStr">
        <is>
          <t>据公司公告与公开报道整理</t>
        </is>
      </c>
      <c r="L49" t="inlineStr">
        <is>
          <t>https://www1.hkexnews.hk/listedco/listconews/sehk/2026/0819/2026081900315_c.pdf</t>
        </is>
      </c>
      <c r="P49" t="inlineStr">
        <is>
          <t>AI产品与模型</t>
        </is>
      </c>
    </row>
    <row r="50">
      <c r="A50" t="inlineStr">
        <is>
          <t>FACT-20260917-049</t>
        </is>
      </c>
      <c r="B50" t="inlineStr">
        <is>
          <t>美团</t>
        </is>
      </c>
      <c r="C50" t="inlineStr">
        <is>
          <t>2026-09-17</t>
        </is>
      </c>
      <c r="D50" t="inlineStr">
        <is>
          <t>官方口径</t>
        </is>
      </c>
      <c r="F50" t="inlineStr">
        <is>
          <t>T-CN-001</t>
        </is>
      </c>
      <c r="H50" t="inlineStr">
        <is>
          <t>核心本地商业收入715亿元，+10.1%；新业务331亿元，+25%，经营亏损收窄至17亿元。</t>
        </is>
      </c>
      <c r="I50" t="inlineStr">
        <is>
          <t>核心本地商业715亿+10.1% · 新业务331亿+25%</t>
        </is>
      </c>
      <c r="J50" t="inlineStr">
        <is>
          <t>官方披露数字</t>
        </is>
      </c>
      <c r="L50" t="inlineStr">
        <is>
          <t>https://www1.hkexnews.hk/listedco/listconews/sehk/2026/0828/2026082800436_c.pdf</t>
        </is>
      </c>
      <c r="P50" t="inlineStr">
        <is>
          <t>业绩与收入结构</t>
        </is>
      </c>
    </row>
    <row r="51">
      <c r="A51" t="inlineStr">
        <is>
          <t>FACT-20260917-050</t>
        </is>
      </c>
      <c r="B51" t="inlineStr">
        <is>
          <t>美团</t>
        </is>
      </c>
      <c r="C51" t="inlineStr">
        <is>
          <t>2026-09-17</t>
        </is>
      </c>
      <c r="D51" t="inlineStr">
        <is>
          <t>官方口径</t>
        </is>
      </c>
      <c r="F51" t="inlineStr">
        <is>
          <t>T-CN-001</t>
        </is>
      </c>
      <c r="H51" t="inlineStr">
        <is>
          <t>LongCat 2.0为业内首个在全国产算力集群完成训练与推理全流程的万亿参数模型；AI助手"小团"升级代理执行；商户侧Agent平台CatPaw已搭建超3万个Agent；王兴称不做Token工厂，模型与AI产品用于支持主业。</t>
        </is>
      </c>
      <c r="I51" t="inlineStr">
        <is>
          <t>LongCat 2.0全国产万亿参数 · CatPaw 3万Agent</t>
        </is>
      </c>
      <c r="J51" t="inlineStr">
        <is>
          <t>业绩会口径</t>
        </is>
      </c>
      <c r="L51" t="inlineStr">
        <is>
          <t>https://www1.hkexnews.hk/listedco/listconews/sehk/2026/0828/2026082800436_c.pdf</t>
        </is>
      </c>
      <c r="P51" t="inlineStr">
        <is>
          <t>AI产品与模型</t>
        </is>
      </c>
    </row>
    <row r="52">
      <c r="A52" t="inlineStr">
        <is>
          <t>FACT-20260917-051</t>
        </is>
      </c>
      <c r="B52" t="inlineStr">
        <is>
          <t>智谱</t>
        </is>
      </c>
      <c r="C52" t="inlineStr">
        <is>
          <t>2026-09-17</t>
        </is>
      </c>
      <c r="D52" t="inlineStr">
        <is>
          <t>官方口径</t>
        </is>
      </c>
      <c r="F52" t="inlineStr">
        <is>
          <t>T-CN-001</t>
        </is>
      </c>
      <c r="H52" t="inlineStr">
        <is>
          <t>1H26收入9.54亿元，+399.7%；开放平台及API收入8.25亿元，占比由2025全年26.3%升至86.5%；期内亏损20.72亿元，同比收窄12.1%。</t>
        </is>
      </c>
      <c r="I52" t="inlineStr">
        <is>
          <t>Rev 9.54亿+399.7% · API占86.5% · 亏损收窄</t>
        </is>
      </c>
      <c r="J52" t="inlineStr">
        <is>
          <t>HKEX公告原文</t>
        </is>
      </c>
      <c r="L52" t="inlineStr">
        <is>
          <t>https://www1.hkexnews.hk/listedco/listconews/sehk/2026/0831/2026083101540_c.pdf</t>
        </is>
      </c>
      <c r="P52" t="inlineStr">
        <is>
          <t>业绩与收入结构</t>
        </is>
      </c>
    </row>
    <row r="53">
      <c r="A53" t="inlineStr">
        <is>
          <t>FACT-20260917-052</t>
        </is>
      </c>
      <c r="B53" t="inlineStr">
        <is>
          <t>智谱</t>
        </is>
      </c>
      <c r="C53" t="inlineStr">
        <is>
          <t>2026-09-17</t>
        </is>
      </c>
      <c r="D53" t="inlineStr">
        <is>
          <t>官方口径</t>
        </is>
      </c>
      <c r="F53" t="inlineStr">
        <is>
          <t>T-CN-001</t>
        </is>
      </c>
      <c r="H53" t="inlineStr">
        <is>
          <t>公告将能力路径表述为Chat→Coding→Agent→Co-work，Coding成为Token消耗与云端收入第一个规模化入口。</t>
        </is>
      </c>
      <c r="I53" t="inlineStr">
        <is>
          <t>能力路径 Chat→Coding→Agent→Co-work</t>
        </is>
      </c>
      <c r="J53" t="inlineStr">
        <is>
          <t>HKEX公告原文</t>
        </is>
      </c>
      <c r="L53" t="inlineStr">
        <is>
          <t>https://www1.hkexnews.hk/listedco/listconews/sehk/2026/0831/2026083101540_c.pdf</t>
        </is>
      </c>
      <c r="P53" t="inlineStr">
        <is>
          <t>AI产品与模型</t>
        </is>
      </c>
    </row>
    <row r="54">
      <c r="A54" t="inlineStr">
        <is>
          <t>FACT-20260917-053</t>
        </is>
      </c>
      <c r="B54" t="inlineStr">
        <is>
          <t>智谱</t>
        </is>
      </c>
      <c r="C54" t="inlineStr">
        <is>
          <t>2026-09-17</t>
        </is>
      </c>
      <c r="D54" t="inlineStr">
        <is>
          <t>官方口径</t>
        </is>
      </c>
      <c r="F54" t="inlineStr">
        <is>
          <t>T-CN-001</t>
        </is>
      </c>
      <c r="H54" t="inlineStr">
        <is>
          <t>9月13日公告配售新H股并发行本金201.4亿元零息可转债，约60%净额投向下一代GLM基座模型与算力。</t>
        </is>
      </c>
      <c r="I54" t="inlineStr">
        <is>
          <t>配售+可转债201.4亿 · 60%投GLM与算力</t>
        </is>
      </c>
      <c r="J54" t="inlineStr">
        <is>
          <t>HKEX公告原文</t>
        </is>
      </c>
      <c r="L54" t="inlineStr">
        <is>
          <t>https://www1.hkexnews.hk/listedco/listconews/sehk/2026/0831/2026083101540_c.pdf</t>
        </is>
      </c>
      <c r="P54" t="inlineStr">
        <is>
          <t>资本开支与现金流</t>
        </is>
      </c>
    </row>
    <row r="55">
      <c r="A55" t="inlineStr">
        <is>
          <t>FACT-20260917-054</t>
        </is>
      </c>
      <c r="B55" t="inlineStr">
        <is>
          <t>MiniMax</t>
        </is>
      </c>
      <c r="C55" t="inlineStr">
        <is>
          <t>2026-09-17</t>
        </is>
      </c>
      <c r="D55" t="inlineStr">
        <is>
          <t>官方口径</t>
        </is>
      </c>
      <c r="F55" t="inlineStr">
        <is>
          <t>T-CN-001</t>
        </is>
      </c>
      <c r="H55" t="inlineStr">
        <is>
          <t>8月ARR超过8亿美元、ToB约占80%（业绩会口径，公告原文无ARR字样）；研发开支同比+138.8%，显著低于收入增速。</t>
        </is>
      </c>
      <c r="I55" t="inlineStr">
        <is>
          <t>8月ARR&gt;$0.8B · 研发+138.8%&lt;收入增速</t>
        </is>
      </c>
      <c r="J55" t="inlineStr">
        <is>
          <t>业绩会口径+公告数字</t>
        </is>
      </c>
      <c r="L55" t="inlineStr">
        <is>
          <t>https://www1.hkexnews.hk/listedco/listconews/sehk/2026/0826/2026082600681_c.pdf</t>
        </is>
      </c>
      <c r="P55" t="inlineStr">
        <is>
          <t>业绩与收入结构</t>
        </is>
      </c>
    </row>
    <row r="56">
      <c r="A56" t="inlineStr">
        <is>
          <t>FACT-20260917-055</t>
        </is>
      </c>
      <c r="B56" t="inlineStr">
        <is>
          <t>MiniMax</t>
        </is>
      </c>
      <c r="C56" t="inlineStr">
        <is>
          <t>2026-09-17</t>
        </is>
      </c>
      <c r="D56" t="inlineStr">
        <is>
          <t>官方口径</t>
        </is>
      </c>
      <c r="F56" t="inlineStr">
        <is>
          <t>T-CN-001</t>
        </is>
      </c>
      <c r="H56" t="inlineStr">
        <is>
          <t>服务230多个国家与地区的企业客户、开发者及个人用户。</t>
        </is>
      </c>
      <c r="I56" t="inlineStr">
        <is>
          <t>覆盖230+国家与地区</t>
        </is>
      </c>
      <c r="J56" t="inlineStr">
        <is>
          <t>HKEX公告原文</t>
        </is>
      </c>
      <c r="L56" t="inlineStr">
        <is>
          <t>https://www1.hkexnews.hk/listedco/listconews/sehk/2026/0826/2026082600681_c.pdf</t>
        </is>
      </c>
      <c r="P56" t="inlineStr">
        <is>
          <t>用户与生态</t>
        </is>
      </c>
    </row>
    <row r="57">
      <c r="A57" t="inlineStr">
        <is>
          <t>FACT-20260917-056</t>
        </is>
      </c>
      <c r="B57" t="inlineStr">
        <is>
          <t>OpenAI</t>
        </is>
      </c>
      <c r="C57" t="inlineStr">
        <is>
          <t>2026-09-17</t>
        </is>
      </c>
      <c r="D57" t="inlineStr">
        <is>
          <t>官方口径</t>
        </is>
      </c>
      <c r="F57" t="inlineStr">
        <is>
          <t>T-IND-001</t>
        </is>
      </c>
      <c r="H57" t="inlineStr">
        <is>
          <t>年化收入2026年2月突破250亿美元（2025年底约200亿、2024年约60亿）；一季度收入57亿美元，公司全年目标300亿美元。</t>
        </is>
      </c>
      <c r="I57" t="inlineStr">
        <is>
          <t>ARR $25B+（2月） · Q1 $5.7B · 全年目标$30B</t>
        </is>
      </c>
      <c r="J57" t="inlineStr">
        <is>
          <t>私营公司无审计财报；媒体与研究机构转述口径</t>
        </is>
      </c>
      <c r="L57" t="inlineStr">
        <is>
          <t>https://openai.com/news/</t>
        </is>
      </c>
      <c r="P57" t="inlineStr">
        <is>
          <t>业绩与收入结构</t>
        </is>
      </c>
    </row>
    <row r="58">
      <c r="A58" t="inlineStr">
        <is>
          <t>FACT-20260917-057</t>
        </is>
      </c>
      <c r="B58" t="inlineStr">
        <is>
          <t>OpenAI</t>
        </is>
      </c>
      <c r="C58" t="inlineStr">
        <is>
          <t>2026-09-17</t>
        </is>
      </c>
      <c r="D58" t="inlineStr">
        <is>
          <t>官方口径</t>
        </is>
      </c>
      <c r="F58" t="inlineStr">
        <is>
          <t>T-IND-001</t>
        </is>
      </c>
      <c r="H58" t="inlineStr">
        <is>
          <t>ChatGPT周活跃用户超9亿（2026年2月官方口径）；付费消费者订阅超5000万，企业付费用户超900万，企业客户超100万。</t>
        </is>
      </c>
      <c r="I58" t="inlineStr">
        <is>
          <t>WAU 9亿+ · 付费消费者50M+ · 企业用户9M+</t>
        </is>
      </c>
      <c r="J58" t="inlineStr">
        <is>
          <t>官方披露数字</t>
        </is>
      </c>
      <c r="L58" t="inlineStr">
        <is>
          <t>https://openai.com/news/</t>
        </is>
      </c>
      <c r="P58" t="inlineStr">
        <is>
          <t>用户与生态</t>
        </is>
      </c>
    </row>
    <row r="59">
      <c r="A59" t="inlineStr">
        <is>
          <t>FACT-20260917-058</t>
        </is>
      </c>
      <c r="B59" t="inlineStr">
        <is>
          <t>OpenAI</t>
        </is>
      </c>
      <c r="C59" t="inlineStr">
        <is>
          <t>2026-09-17</t>
        </is>
      </c>
      <c r="D59" t="inlineStr">
        <is>
          <t>官方口径</t>
        </is>
      </c>
      <c r="F59" t="inlineStr">
        <is>
          <t>T-IND-001</t>
        </is>
      </c>
      <c r="H59" t="inlineStr">
        <is>
          <t>一季度调整后经营利润率-122%，即每1美元收入亏损1.22美元（不含股权激励）；全年预计净亏损约140亿美元，盈亏平衡预计2030年。</t>
        </is>
      </c>
      <c r="I59" t="inlineStr">
        <is>
          <t>Q1利润率-122% · 2026E净亏≈$14B</t>
        </is>
      </c>
      <c r="J59" t="inlineStr">
        <is>
          <t>转述口径，未经审计</t>
        </is>
      </c>
      <c r="L59" t="inlineStr">
        <is>
          <t>https://openai.com/news/</t>
        </is>
      </c>
      <c r="P59" t="inlineStr">
        <is>
          <t>业绩与收入结构</t>
        </is>
      </c>
    </row>
    <row r="60">
      <c r="A60" t="inlineStr">
        <is>
          <t>FACT-20260917-059</t>
        </is>
      </c>
      <c r="B60" t="inlineStr">
        <is>
          <t>OpenAI</t>
        </is>
      </c>
      <c r="C60" t="inlineStr">
        <is>
          <t>2026-09-17</t>
        </is>
      </c>
      <c r="D60" t="inlineStr">
        <is>
          <t>官方口径</t>
        </is>
      </c>
      <c r="F60" t="inlineStr">
        <is>
          <t>T-IND-001</t>
        </is>
      </c>
      <c r="H60" t="inlineStr">
        <is>
          <t>GPT-5.5 Instant成为ChatGPT默认模型（5月）；编程智能体Codex周活超500万（6月）；企业工作台ChatGPT Work 7月上线；Sora于4月关停、GPT-4o退役。</t>
        </is>
      </c>
      <c r="I60" t="inlineStr">
        <is>
          <t>GPT-5.5默认 · Codex 5M周活 · Sora关停</t>
        </is>
      </c>
      <c r="J60" t="inlineStr">
        <is>
          <t>官方发布+公开报道混合口径</t>
        </is>
      </c>
      <c r="L60" t="inlineStr">
        <is>
          <t>https://openai.com/news/</t>
        </is>
      </c>
      <c r="P60" t="inlineStr">
        <is>
          <t>AI产品与模型</t>
        </is>
      </c>
    </row>
    <row r="61">
      <c r="A61" t="inlineStr">
        <is>
          <t>FACT-20260917-060</t>
        </is>
      </c>
      <c r="B61" t="inlineStr">
        <is>
          <t>OpenAI</t>
        </is>
      </c>
      <c r="C61" t="inlineStr">
        <is>
          <t>2026-09-17</t>
        </is>
      </c>
      <c r="D61" t="inlineStr">
        <is>
          <t>官方口径</t>
        </is>
      </c>
      <c r="F61" t="inlineStr">
        <is>
          <t>T-ADS-001</t>
        </is>
      </c>
      <c r="H61" t="inlineStr">
        <is>
          <t>ChatGPT广告试点2月上线，6周内年化破1亿美元；至8月广告年化收入约10亿美元；公司预计2030年广告年收入约1020亿美元。</t>
        </is>
      </c>
      <c r="I61" t="inlineStr">
        <is>
          <t>广告年化≈$1B（8月） · 2030指引$102B</t>
        </is>
      </c>
      <c r="J61" t="inlineStr">
        <is>
          <t>研究机构估算+公司指引口径</t>
        </is>
      </c>
      <c r="L61" t="inlineStr">
        <is>
          <t>https://openai.com/news/</t>
        </is>
      </c>
      <c r="P61" t="inlineStr">
        <is>
          <t>广告与商业化</t>
        </is>
      </c>
    </row>
    <row r="62">
      <c r="A62" t="inlineStr">
        <is>
          <t>FACT-20260917-061</t>
        </is>
      </c>
      <c r="B62" t="inlineStr">
        <is>
          <t>OpenAI</t>
        </is>
      </c>
      <c r="C62" t="inlineStr">
        <is>
          <t>2026-09-17</t>
        </is>
      </c>
      <c r="D62" t="inlineStr">
        <is>
          <t>官方口径</t>
        </is>
      </c>
      <c r="F62" t="inlineStr">
        <is>
          <t>T-CAPEX-001</t>
        </is>
      </c>
      <c r="H62" t="inlineStr">
        <is>
          <t>2026年3-4月完成1220亿美元融资（SoftBank、Amazon、NVIDIA等），投后估值8520亿美元；6月8日秘密递交S-1，IPO目标估值超1万亿美元；至2030年算力投入目标约6000亿美元。</t>
        </is>
      </c>
      <c r="I62" t="inlineStr">
        <is>
          <t>融资$122B @$852B · S-1已递交 · 算力$600B/2030</t>
        </is>
      </c>
      <c r="J62" t="inlineStr">
        <is>
          <t>官方公告+媒体报道混合口径</t>
        </is>
      </c>
      <c r="L62" t="inlineStr">
        <is>
          <t>https://openai.com/news/</t>
        </is>
      </c>
      <c r="P62" t="inlineStr">
        <is>
          <t>资本开支与现金流</t>
        </is>
      </c>
    </row>
    <row r="63">
      <c r="A63" t="inlineStr">
        <is>
          <t>FACT-20260917-062</t>
        </is>
      </c>
      <c r="B63" t="inlineStr">
        <is>
          <t>Anthropic</t>
        </is>
      </c>
      <c r="C63" t="inlineStr">
        <is>
          <t>2026-09-17</t>
        </is>
      </c>
      <c r="D63" t="inlineStr">
        <is>
          <t>官方口径</t>
        </is>
      </c>
      <c r="F63" t="inlineStr">
        <is>
          <t>T-IND-001</t>
        </is>
      </c>
      <c r="H63" t="inlineStr">
        <is>
          <t>年化收入运行率2026年4月官方宣布突破300亿美元（2025年底约90亿）；5月披露超470亿；7月底向投资者披露突破650亿。</t>
        </is>
      </c>
      <c r="I63" t="inlineStr">
        <is>
          <t>ARR $9B→$30B→$47B→$65B+</t>
        </is>
      </c>
      <c r="J63" t="inlineStr">
        <is>
          <t>官方公告+投资者披露转述</t>
        </is>
      </c>
      <c r="L63" t="inlineStr">
        <is>
          <t>https://www.anthropic.com/news</t>
        </is>
      </c>
      <c r="P63" t="inlineStr">
        <is>
          <t>业绩与收入结构</t>
        </is>
      </c>
    </row>
    <row r="64">
      <c r="A64" t="inlineStr">
        <is>
          <t>FACT-20260917-063</t>
        </is>
      </c>
      <c r="B64" t="inlineStr">
        <is>
          <t>Anthropic</t>
        </is>
      </c>
      <c r="C64" t="inlineStr">
        <is>
          <t>2026-09-17</t>
        </is>
      </c>
      <c r="D64" t="inlineStr">
        <is>
          <t>官方口径</t>
        </is>
      </c>
      <c r="F64" t="inlineStr">
        <is>
          <t>T-IND-001</t>
        </is>
      </c>
      <c r="H64" t="inlineStr">
        <is>
          <t>二季度营收超115亿美元，预计录得首个季度调整后营业利润约5.59亿美元；推理毛利率从一年前38%升至70%-85%。</t>
        </is>
      </c>
      <c r="I64" t="inlineStr">
        <is>
          <t>Q2营收$11.5B+ · 首个季度营业利润 · 毛利率70%+</t>
        </is>
      </c>
      <c r="J64" t="inlineStr">
        <is>
          <t>转述口径</t>
        </is>
      </c>
      <c r="L64" t="inlineStr">
        <is>
          <t>https://www.anthropic.com/news</t>
        </is>
      </c>
      <c r="P64" t="inlineStr">
        <is>
          <t>业绩与收入结构</t>
        </is>
      </c>
    </row>
    <row r="65">
      <c r="A65" t="inlineStr">
        <is>
          <t>FACT-20260917-064</t>
        </is>
      </c>
      <c r="B65" t="inlineStr">
        <is>
          <t>Anthropic</t>
        </is>
      </c>
      <c r="C65" t="inlineStr">
        <is>
          <t>2026-09-17</t>
        </is>
      </c>
      <c r="D65" t="inlineStr">
        <is>
          <t>官方口径</t>
        </is>
      </c>
      <c r="F65" t="inlineStr">
        <is>
          <t>T-IND-001</t>
        </is>
      </c>
      <c r="H65" t="inlineStr">
        <is>
          <t>年花费超100万美元的企业客户超过1000家（两个月内翻倍）；企业客户30万+；财富10强中8家在用Claude。</t>
        </is>
      </c>
      <c r="I65" t="inlineStr">
        <is>
          <t>$1M+客户1000+ · 企业客户30万+ · F10中8家</t>
        </is>
      </c>
      <c r="J65" t="inlineStr">
        <is>
          <t>官方披露数字</t>
        </is>
      </c>
      <c r="L65" t="inlineStr">
        <is>
          <t>https://www.anthropic.com/news</t>
        </is>
      </c>
      <c r="P65" t="inlineStr">
        <is>
          <t>用户与生态</t>
        </is>
      </c>
    </row>
    <row r="66">
      <c r="A66" t="inlineStr">
        <is>
          <t>FACT-20260917-065</t>
        </is>
      </c>
      <c r="B66" t="inlineStr">
        <is>
          <t>Anthropic</t>
        </is>
      </c>
      <c r="C66" t="inlineStr">
        <is>
          <t>2026-09-17</t>
        </is>
      </c>
      <c r="D66" t="inlineStr">
        <is>
          <t>官方口径</t>
        </is>
      </c>
      <c r="F66" t="inlineStr">
        <is>
          <t>T-IND-001</t>
        </is>
      </c>
      <c r="H66" t="inlineStr">
        <is>
          <t>Claude Code年化收入从2月25亿美元升至年中约85亿美元，占AI编程市场约54%；GitHub公开提交约4%由Claude Code生成；1月推出Claude CoWork，Managed Agents进入公测。</t>
        </is>
      </c>
      <c r="I66" t="inlineStr">
        <is>
          <t>Claude Code≈$8.5B ARR · 54%编程份额</t>
        </is>
      </c>
      <c r="J66" t="inlineStr">
        <is>
          <t>官方公告+研究机构估算</t>
        </is>
      </c>
      <c r="L66" t="inlineStr">
        <is>
          <t>https://www.anthropic.com/news</t>
        </is>
      </c>
      <c r="P66" t="inlineStr">
        <is>
          <t>AI产品与模型</t>
        </is>
      </c>
    </row>
    <row r="67">
      <c r="A67" t="inlineStr">
        <is>
          <t>FACT-20260917-066</t>
        </is>
      </c>
      <c r="B67" t="inlineStr">
        <is>
          <t>Anthropic</t>
        </is>
      </c>
      <c r="C67" t="inlineStr">
        <is>
          <t>2026-09-17</t>
        </is>
      </c>
      <c r="D67" t="inlineStr">
        <is>
          <t>官方口径</t>
        </is>
      </c>
      <c r="F67" t="inlineStr">
        <is>
          <t>T-CAPEX-001</t>
        </is>
      </c>
      <c r="H67" t="inlineStr">
        <is>
          <t>与Google、Broadcom签约3.5GW TPU容量（2027年起）；承诺五年2000亿美元谷歌云服务与芯片采购；与SpaceX签每月12.5亿美元算力协议；另有500亿美元美国数据中心投入。</t>
        </is>
      </c>
      <c r="I67" t="inlineStr">
        <is>
          <t>3.5GW TPU · $200B/5yr谷歌 · SpaceX $1.25B/月</t>
        </is>
      </c>
      <c r="J67" t="inlineStr">
        <is>
          <t>官方公告+媒体报道混合口径</t>
        </is>
      </c>
      <c r="L67" t="inlineStr">
        <is>
          <t>https://www.anthropic.com/news</t>
        </is>
      </c>
      <c r="P67" t="inlineStr">
        <is>
          <t>资本开支与现金流</t>
        </is>
      </c>
    </row>
    <row r="68">
      <c r="A68" t="inlineStr">
        <is>
          <t>FACT-20260917-067</t>
        </is>
      </c>
      <c r="B68" t="inlineStr">
        <is>
          <t>Anthropic</t>
        </is>
      </c>
      <c r="C68" t="inlineStr">
        <is>
          <t>2026-09-17</t>
        </is>
      </c>
      <c r="D68" t="inlineStr">
        <is>
          <t>官方口径</t>
        </is>
      </c>
      <c r="F68" t="inlineStr">
        <is>
          <t>T-IND-001</t>
        </is>
      </c>
      <c r="H68" t="inlineStr">
        <is>
          <t>Series G于2月募资300亿美元、投后估值3800亿美元；新一轮融资洽谈估值9000-9650亿美元；市场预计10月前后IPO，传闻估值约2万亿美元。</t>
        </is>
      </c>
      <c r="I68" t="inlineStr">
        <is>
          <t>Series G $30B @$380B · IPO传闻≈$2T</t>
        </is>
      </c>
      <c r="J68" t="inlineStr">
        <is>
          <t>官方公告+市场消息转述</t>
        </is>
      </c>
      <c r="L68" t="inlineStr">
        <is>
          <t>https://www.anthropic.com/news</t>
        </is>
      </c>
      <c r="P68" t="inlineStr">
        <is>
          <t>业绩与收入结构</t>
        </is>
      </c>
    </row>
    <row r="69">
      <c r="A69" t="inlineStr">
        <is>
          <t>FACT-20260917-068</t>
        </is>
      </c>
      <c r="B69" t="inlineStr">
        <is>
          <t>Anthropic</t>
        </is>
      </c>
      <c r="C69" t="inlineStr">
        <is>
          <t>2026-09-17</t>
        </is>
      </c>
      <c r="D69" t="inlineStr">
        <is>
          <t>官方口径</t>
        </is>
      </c>
      <c r="F69" t="inlineStr">
        <is>
          <t>T-IND-001</t>
        </is>
      </c>
      <c r="H69" t="inlineStr">
        <is>
          <t>收入口径注：Anthropic按总额口径报告（含AWS Bedrock、Google Cloud等云渠道分成），OpenAI按净额口径（扣除微软分成）；两家ARR直接对比前需先对齐口径。</t>
        </is>
      </c>
      <c r="I69" t="inlineStr">
        <is>
          <t>口径差异：总额vs净额，不可直接对比</t>
        </is>
      </c>
      <c r="J69" t="inlineStr">
        <is>
          <t>口径方法论注记</t>
        </is>
      </c>
      <c r="L69" t="inlineStr">
        <is>
          <t>https://www.anthropic.com/news</t>
        </is>
      </c>
      <c r="P69" t="inlineStr">
        <is>
          <t>业绩与收入结构</t>
        </is>
      </c>
    </row>
  </sheetData>
  <autoFilter ref="A1:O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60" customWidth="1" min="4" max="4"/>
    <col width="18" customWidth="1" min="5" max="5"/>
    <col width="48" customWidth="1" min="6" max="6"/>
    <col width="48" customWidth="1" min="7" max="7"/>
    <col width="48" customWidth="1" min="8" max="8"/>
    <col width="48" customWidth="1" min="9" max="9"/>
    <col width="20" customWidth="1" min="10" max="10"/>
    <col width="18" customWidth="1" min="11" max="11"/>
  </cols>
  <sheetData>
    <row r="1" ht="30" customHeight="1">
      <c r="A1" s="16" t="inlineStr">
        <is>
          <t>周次</t>
        </is>
      </c>
      <c r="B1" s="16" t="inlineStr">
        <is>
          <t>主题编号</t>
        </is>
      </c>
      <c r="C1" s="16" t="inlineStr">
        <is>
          <t>公司</t>
        </is>
      </c>
      <c r="D1" s="16" t="inlineStr">
        <is>
          <t>本周结论</t>
        </is>
      </c>
      <c r="E1" s="16" t="inlineStr">
        <is>
          <t>证据状态</t>
        </is>
      </c>
      <c r="F1" s="16" t="inlineStr">
        <is>
          <t>新增事实</t>
        </is>
      </c>
      <c r="G1" s="16" t="inlineStr">
        <is>
          <t>市场认可</t>
        </is>
      </c>
      <c r="H1" s="16" t="inlineStr">
        <is>
          <t>市场怀疑</t>
        </is>
      </c>
      <c r="I1" s="16" t="inlineStr">
        <is>
          <t>待验证问题</t>
        </is>
      </c>
      <c r="J1" s="16" t="inlineStr">
        <is>
          <t>主张ID</t>
        </is>
      </c>
      <c r="K1" s="16" t="inlineStr">
        <is>
          <t>负责人</t>
        </is>
      </c>
    </row>
    <row r="2">
      <c r="A2" s="18" t="inlineStr">
        <is>
          <t>2026-W38</t>
        </is>
      </c>
      <c r="B2" s="18" t="inlineStr">
        <is>
          <t>T-MUSE-001</t>
        </is>
      </c>
      <c r="C2" s="18" t="inlineStr">
        <is>
          <t>Meta</t>
        </is>
      </c>
      <c r="D2" s="18" t="inlineStr">
        <is>
          <t>Muse从模型、图像生成延伸到个人Agent和广告创意，但商业化仍应跟踪采用率与可计量行为。</t>
        </is>
      </c>
      <c r="E2" s="18" t="inlineStr">
        <is>
          <t>官方锚定/卖方待补</t>
        </is>
      </c>
      <c r="F2" s="18" t="inlineStr">
        <is>
          <t>Muse Image接入社交与广告工作流；Muse个人Agent发布。</t>
        </is>
      </c>
      <c r="G2" s="18" t="inlineStr">
        <is>
          <t>产品入口与分发能力被认可。</t>
        </is>
      </c>
      <c r="H2" s="18" t="inlineStr">
        <is>
          <t>采用率、留存、隐私信任及交易抽佣仍待验证。</t>
        </is>
      </c>
      <c r="I2" s="18" t="inlineStr">
        <is>
          <t>Muse用户采用、任务完成率、商业化行为、广告主转化提升</t>
        </is>
      </c>
      <c r="J2" s="18" t="inlineStr">
        <is>
          <t>CLM-20260916-001</t>
        </is>
      </c>
      <c r="K2" s="18" t="inlineStr">
        <is>
          <t>hi work</t>
        </is>
      </c>
    </row>
    <row r="3">
      <c r="A3" s="18" t="inlineStr">
        <is>
          <t>2026-W38</t>
        </is>
      </c>
      <c r="B3" s="18" t="inlineStr">
        <is>
          <t>T-AIO-001</t>
        </is>
      </c>
      <c r="C3" s="18" t="inlineStr">
        <is>
          <t>Google</t>
        </is>
      </c>
      <c r="D3" s="18" t="inlineStr">
        <is>
          <t>AI Max把搜索广告优化从关键词扩展到意图识别、文案与落地页联动。</t>
        </is>
      </c>
      <c r="E3" s="18" t="inlineStr">
        <is>
          <t>官方锚定/卖方待补</t>
        </is>
      </c>
      <c r="F3" s="18" t="inlineStr">
        <is>
          <t>完整功能官方平均多7%转化或转化价值。</t>
        </is>
      </c>
      <c r="G3" s="18" t="inlineStr">
        <is>
          <t>更广的意图覆盖与自动化。</t>
        </is>
      </c>
      <c r="H3" s="18" t="inlineStr">
        <is>
          <t>账户级流量质量、增量性与品牌控制。</t>
        </is>
      </c>
      <c r="I3" s="18" t="inlineStr">
        <is>
          <t>AIO/AIM广告位收入、CTR/CVR、AI Max实验结果</t>
        </is>
      </c>
      <c r="J3" s="18" t="inlineStr">
        <is>
          <t>CLM-20260916-002</t>
        </is>
      </c>
      <c r="K3" s="18" t="inlineStr">
        <is>
          <t>hi work</t>
        </is>
      </c>
    </row>
    <row r="4">
      <c r="A4" s="18" t="inlineStr">
        <is>
          <t>2026-W38</t>
        </is>
      </c>
      <c r="B4" s="18" t="inlineStr">
        <is>
          <t>T-CAPEX-001</t>
        </is>
      </c>
      <c r="C4" s="18" t="inlineStr">
        <is>
          <t>Amazon/行业</t>
        </is>
      </c>
      <c r="D4" s="18" t="inlineStr">
        <is>
          <t>Capex验证开始分化：Amazon已有AI/芯片收入尺度，行业层面仍需逐公司核验现金回收。</t>
        </is>
      </c>
      <c r="E4" s="18" t="inlineStr">
        <is>
          <t>混合</t>
        </is>
      </c>
      <c r="F4" s="18" t="inlineStr">
        <is>
          <t>AWS AI与芯片业务年化收入均超250亿美元；TTM FCF转负。</t>
        </is>
      </c>
      <c r="G4" s="18" t="inlineStr">
        <is>
          <t>AWS需求与收入证据较清晰。</t>
        </is>
      </c>
      <c r="H4" s="18" t="inlineStr">
        <is>
          <t>高投入对自由现金流的压力。</t>
        </is>
      </c>
      <c r="I4" s="18" t="inlineStr">
        <is>
          <t>利用率、backlog转收入、设备与设施折旧回报</t>
        </is>
      </c>
      <c r="J4" s="18" t="inlineStr">
        <is>
          <t>CLM-20260916-003/004</t>
        </is>
      </c>
      <c r="K4" s="18" t="inlineStr">
        <is>
          <t>hi work</t>
        </is>
      </c>
    </row>
  </sheetData>
  <autoFilter ref="A1:K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70" customWidth="1" min="3" max="3"/>
  </cols>
  <sheetData>
    <row r="1" ht="30" customHeight="1">
      <c r="A1" s="16" t="inlineStr">
        <is>
          <t>类型</t>
        </is>
      </c>
      <c r="B1" s="16" t="inlineStr">
        <is>
          <t>值</t>
        </is>
      </c>
      <c r="C1" s="16" t="inlineStr">
        <is>
          <t>说明</t>
        </is>
      </c>
    </row>
    <row r="2">
      <c r="A2" s="17" t="inlineStr">
        <is>
          <t>勾稽状态</t>
        </is>
      </c>
      <c r="B2" s="17" t="inlineStr">
        <is>
          <t>待核验</t>
        </is>
      </c>
      <c r="C2" s="17" t="inlineStr">
        <is>
          <t>仅有第一层线索</t>
        </is>
      </c>
    </row>
    <row r="3">
      <c r="A3" s="17" t="inlineStr">
        <is>
          <t>勾稽状态</t>
        </is>
      </c>
      <c r="B3" s="17" t="inlineStr">
        <is>
          <t>卖方已验证</t>
        </is>
      </c>
      <c r="C3" s="17" t="inlineStr">
        <is>
          <t>已找到研报背书或回避</t>
        </is>
      </c>
    </row>
    <row r="4">
      <c r="A4" s="17" t="inlineStr">
        <is>
          <t>勾稽状态</t>
        </is>
      </c>
      <c r="B4" s="17" t="inlineStr">
        <is>
          <t>官方已锚定</t>
        </is>
      </c>
      <c r="C4" s="17" t="inlineStr">
        <is>
          <t>已有官方原文</t>
        </is>
      </c>
    </row>
    <row r="5">
      <c r="A5" s="17" t="inlineStr">
        <is>
          <t>勾稽状态</t>
        </is>
      </c>
      <c r="B5" s="17" t="inlineStr">
        <is>
          <t>冲突</t>
        </is>
      </c>
      <c r="C5" s="17" t="inlineStr">
        <is>
          <t>来源间存在不可合并差异</t>
        </is>
      </c>
    </row>
    <row r="6">
      <c r="A6" s="17" t="inlineStr">
        <is>
          <t>勾稽状态</t>
        </is>
      </c>
      <c r="B6" s="17" t="inlineStr">
        <is>
          <t>孤证</t>
        </is>
      </c>
      <c r="C6" s="17" t="inlineStr">
        <is>
          <t>只有单一证据</t>
        </is>
      </c>
    </row>
    <row r="7">
      <c r="A7" s="17" t="inlineStr">
        <is>
          <t>结论准入</t>
        </is>
      </c>
      <c r="B7" s="17" t="inlineStr">
        <is>
          <t>可入结论</t>
        </is>
      </c>
      <c r="C7" s="17" t="inlineStr">
        <is>
          <t>至少完成官方锚定且无未解释冲突</t>
        </is>
      </c>
    </row>
    <row r="8">
      <c r="A8" s="17" t="inlineStr">
        <is>
          <t>结论准入</t>
        </is>
      </c>
      <c r="B8" s="17" t="inlineStr">
        <is>
          <t>禁入结论</t>
        </is>
      </c>
      <c r="C8" s="17" t="inlineStr">
        <is>
          <t>孤证或冲突未解决</t>
        </is>
      </c>
    </row>
  </sheetData>
  <autoFilter ref="A1:C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2026-09-16T07:22:10Z</dcterms:created>
  <dcterms:modified xsi:type="dcterms:W3CDTF">2026-09-26T08:57:18Z</dcterms:modified>
</cp:coreProperties>
</file>